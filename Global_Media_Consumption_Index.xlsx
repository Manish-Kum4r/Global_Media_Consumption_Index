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Country universe" sheetId="2" state="visible" r:id="rId2"/>
    <sheet xmlns:r="http://schemas.openxmlformats.org/officeDocument/2006/relationships" name="2 Time database" sheetId="3" state="visible" r:id="rId3"/>
    <sheet xmlns:r="http://schemas.openxmlformats.org/officeDocument/2006/relationships" name="3 Market size" sheetId="4" state="visible" r:id="rId4"/>
    <sheet xmlns:r="http://schemas.openxmlformats.org/officeDocument/2006/relationships" name="4 Offline &amp; physical" sheetId="5" state="visible" r:id="rId5"/>
    <sheet xmlns:r="http://schemas.openxmlformats.org/officeDocument/2006/relationships" name="5 Streaming &amp; penetration" sheetId="6" state="visible" r:id="rId6"/>
    <sheet xmlns:r="http://schemas.openxmlformats.org/officeDocument/2006/relationships" name="6 Monetisation index" sheetId="7" state="visible" r:id="rId7"/>
    <sheet xmlns:r="http://schemas.openxmlformats.org/officeDocument/2006/relationships" name="7 Matrix - time" sheetId="8" state="visible" r:id="rId8"/>
    <sheet xmlns:r="http://schemas.openxmlformats.org/officeDocument/2006/relationships" name="8 Matrix - market size" sheetId="9" state="visible" r:id="rId9"/>
    <sheet xmlns:r="http://schemas.openxmlformats.org/officeDocument/2006/relationships" name="9 Matrix - spend per capita" sheetId="10" state="visible" r:id="rId10"/>
    <sheet xmlns:r="http://schemas.openxmlformats.org/officeDocument/2006/relationships" name="10 India deep dive" sheetId="11" state="visible" r:id="rId11"/>
    <sheet xmlns:r="http://schemas.openxmlformats.org/officeDocument/2006/relationships" name="11 Findings" sheetId="12" state="visible" r:id="rId12"/>
    <sheet xmlns:r="http://schemas.openxmlformats.org/officeDocument/2006/relationships" name="12 Sources" sheetId="13" state="visible" r:id="rId1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b val="1"/>
      <color rgb="000F2B46"/>
      <sz val="14"/>
    </font>
    <font>
      <color rgb="00595959"/>
      <sz val="9"/>
    </font>
    <font>
      <b val="1"/>
      <sz val="10"/>
    </font>
    <font>
      <sz val="10"/>
    </font>
    <font>
      <b val="1"/>
      <color rgb="00FFFFFF"/>
      <sz val="10"/>
    </font>
    <font>
      <color rgb="000563C1"/>
      <sz val="9"/>
      <u val="single"/>
    </font>
  </fonts>
  <fills count="7">
    <fill>
      <patternFill/>
    </fill>
    <fill>
      <patternFill patternType="gray125"/>
    </fill>
    <fill>
      <patternFill patternType="solid">
        <fgColor rgb="00DCE6F1"/>
      </patternFill>
    </fill>
    <fill>
      <patternFill patternType="solid">
        <fgColor rgb="000F2B46"/>
      </patternFill>
    </fill>
    <fill>
      <patternFill patternType="solid">
        <fgColor rgb="00E2EFDA"/>
      </patternFill>
    </fill>
    <fill>
      <patternFill patternType="solid">
        <fgColor rgb="00FCE4D6"/>
      </patternFill>
    </fill>
    <fill>
      <patternFill patternType="solid">
        <fgColor rgb="00DDEBF7"/>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3" fillId="0" borderId="1" pivotButton="0" quotePrefix="0" xfId="0"/>
    <xf numFmtId="3" fontId="4" fillId="0" borderId="1" pivotButton="0" quotePrefix="0" xfId="0"/>
    <xf numFmtId="164" fontId="4" fillId="0" borderId="1" pivotButton="0" quotePrefix="0" xfId="0"/>
    <xf numFmtId="165" fontId="4" fillId="4" borderId="1" pivotButton="0" quotePrefix="0" xfId="0"/>
    <xf numFmtId="165" fontId="3" fillId="4" borderId="1" pivotButton="0" quotePrefix="0" xfId="0"/>
    <xf numFmtId="3" fontId="4" fillId="5" borderId="1" pivotButton="0" quotePrefix="0" xfId="0"/>
    <xf numFmtId="0" fontId="2" fillId="0" borderId="1" applyAlignment="1" pivotButton="0" quotePrefix="0" xfId="0">
      <alignment horizontal="left" vertical="top" wrapText="1"/>
    </xf>
    <xf numFmtId="165" fontId="4" fillId="5" borderId="1" pivotButton="0" quotePrefix="0" xfId="0"/>
    <xf numFmtId="165" fontId="3" fillId="5" borderId="1" pivotButton="0" quotePrefix="0" xfId="0"/>
    <xf numFmtId="0" fontId="3" fillId="2" borderId="1" pivotButton="0" quotePrefix="0" xfId="0"/>
    <xf numFmtId="0" fontId="4" fillId="2" borderId="1" applyAlignment="1" pivotButton="0" quotePrefix="0" xfId="0">
      <alignment horizontal="left" vertical="top"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4" fillId="0" borderId="1" pivotButton="0" quotePrefix="0" xfId="0"/>
    <xf numFmtId="3" fontId="3" fillId="4" borderId="1" pivotButton="0" quotePrefix="0" xfId="0"/>
    <xf numFmtId="166" fontId="4" fillId="0" borderId="1" pivotButton="0" quotePrefix="0" xfId="0"/>
    <xf numFmtId="0" fontId="4" fillId="4" borderId="1" applyAlignment="1" pivotButton="0" quotePrefix="0" xfId="0">
      <alignment horizontal="center" vertical="top"/>
    </xf>
    <xf numFmtId="0" fontId="2" fillId="0" borderId="1" applyAlignment="1" pivotButton="0" quotePrefix="0" xfId="0">
      <alignment horizontal="center" vertical="top"/>
    </xf>
    <xf numFmtId="3" fontId="3" fillId="5" borderId="1" pivotButton="0" quotePrefix="0" xfId="0"/>
    <xf numFmtId="0" fontId="4" fillId="5" borderId="1" applyAlignment="1" pivotButton="0" quotePrefix="0" xfId="0">
      <alignment horizontal="center" vertical="top"/>
    </xf>
    <xf numFmtId="4" fontId="4" fillId="0" borderId="1" pivotButton="0" quotePrefix="0" xfId="0"/>
    <xf numFmtId="4" fontId="3" fillId="5" borderId="1" pivotButton="0" quotePrefix="0" xfId="0"/>
    <xf numFmtId="4" fontId="3" fillId="4" borderId="1" pivotButton="0" quotePrefix="0" xfId="0"/>
    <xf numFmtId="4" fontId="4" fillId="5" borderId="1" pivotButton="0" quotePrefix="0" xfId="0"/>
    <xf numFmtId="165" fontId="3" fillId="0" borderId="1" pivotButton="0" quotePrefix="0" xfId="0"/>
    <xf numFmtId="165" fontId="4" fillId="0" borderId="1" pivotButton="0" quotePrefix="0" xfId="0"/>
    <xf numFmtId="0" fontId="2" fillId="0" borderId="1" pivotButton="0" quotePrefix="0" xfId="0"/>
    <xf numFmtId="4" fontId="3" fillId="0" borderId="1" pivotButton="0" quotePrefix="0" xfId="0"/>
    <xf numFmtId="1" fontId="4" fillId="0" borderId="1" pivotButton="0" quotePrefix="0" xfId="0"/>
    <xf numFmtId="3" fontId="3" fillId="6" borderId="1" pivotButton="0" quotePrefix="0" xfId="0"/>
    <xf numFmtId="3" fontId="3" fillId="2" borderId="1" pivotButton="0" quotePrefix="0" xfId="0"/>
    <xf numFmtId="165" fontId="3" fillId="6" borderId="1" pivotButton="0" quotePrefix="0" xfId="0"/>
    <xf numFmtId="165" fontId="3" fillId="2" borderId="1" pivotButton="0" quotePrefix="0" xfId="0"/>
    <xf numFmtId="4" fontId="3" fillId="6" borderId="1" pivotButton="0" quotePrefix="0" xfId="0"/>
    <xf numFmtId="4" fontId="3" fillId="2" borderId="1" pivotButton="0" quotePrefix="0" xfId="0"/>
    <xf numFmtId="0" fontId="4" fillId="0" borderId="1" applyAlignment="1" pivotButton="0" quotePrefix="0" xfId="0">
      <alignment horizontal="left" vertical="top" wrapText="1"/>
    </xf>
    <xf numFmtId="3" fontId="3" fillId="0" borderId="1" pivotButton="0" quotePrefix="0" xfId="0"/>
    <xf numFmtId="0" fontId="5" fillId="3" borderId="1" pivotButton="0" quotePrefix="0" xfId="0"/>
    <xf numFmtId="0" fontId="0" fillId="0" borderId="9" pivotButton="0" quotePrefix="0" xfId="0"/>
    <xf numFmtId="0" fontId="0" fillId="0" borderId="10" pivotButton="0" quotePrefix="0" xfId="0"/>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USD of screen revenue per 1,000 hours of attention (2025)</a:t>
            </a:r>
          </a:p>
        </rich>
      </tx>
    </title>
    <plotArea>
      <barChart>
        <barDir val="col"/>
        <grouping val="clustered"/>
        <ser>
          <idx val="0"/>
          <order val="0"/>
          <tx>
            <strRef>
              <f>'6 Monetisation index'!E4</f>
            </strRef>
          </tx>
          <spPr>
            <a:ln xmlns:a="http://schemas.openxmlformats.org/drawingml/2006/main">
              <a:prstDash val="solid"/>
            </a:ln>
          </spPr>
          <cat>
            <numRef>
              <f>'6 Monetisation index'!$A$5:$A$10</f>
            </numRef>
          </cat>
          <val>
            <numRef>
              <f>'6 Monetisation index'!$E$5:$E$10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 per 1,000 hours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11</col>
      <colOff>0</colOff>
      <row>3</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hyperlink" Target="https://www.ofcom.org.uk/siteassets/resources/documents/research-and-data/multi-sector/media-nations/2026/media-nations-2026-uk-report.pdf" TargetMode="External" Id="rId1"/><Relationship Type="http://schemas.openxmlformats.org/officeDocument/2006/relationships/hyperlink" Target="https://www.nielsen.com/data-center/the-gauge/" TargetMode="External" Id="rId2"/><Relationship Type="http://schemas.openxmlformats.org/officeDocument/2006/relationships/hyperlink" Target="https://www.emarketer.com/content/asia-pacific-time-spent-with-media-2025" TargetMode="External" Id="rId3"/><Relationship Type="http://schemas.openxmlformats.org/officeDocument/2006/relationships/hyperlink" Target="https://datareportal.com/reports/digital-2025-global-overview-report" TargetMode="External" Id="rId4"/><Relationship Type="http://schemas.openxmlformats.org/officeDocument/2006/relationships/hyperlink" Target="https://www.ey.com/en_in/insights/media-entertainment/stories-scale-and-impact-unlocking-india-s-m-e-economy" TargetMode="External" Id="rId5"/><Relationship Type="http://schemas.openxmlformats.org/officeDocument/2006/relationships/hyperlink" Target="https://newzoo.com/resources/blog/global-games-market-to-hit-189-billion-in-2025" TargetMode="External" Id="rId6"/><Relationship Type="http://schemas.openxmlformats.org/officeDocument/2006/relationships/hyperlink" Target="https://nikopartners.com/indias-gaming-market-surpasses-1-billion-for-the-first-time-driven-by-mobile-growth-and-changing-player-behavior/" TargetMode="External" Id="rId7"/><Relationship Type="http://schemas.openxmlformats.org/officeDocument/2006/relationships/hyperlink" Target="https://respawn.outlookindia.com/gaming/gaming-news/lumikai-india-gaming-market-1-5-billion-rmg-ban-2025" TargetMode="External" Id="rId8"/><Relationship Type="http://schemas.openxmlformats.org/officeDocument/2006/relationships/hyperlink" Target="https://www.musicbusinessworldwide.com/global-recorded-music-revenues-hit-31-7bn-in-2025-up-6-4-yoy-users-of-paid-music-subscriptions-reach-837m/" TargetMode="External" Id="rId9"/><Relationship Type="http://schemas.openxmlformats.org/officeDocument/2006/relationships/hyperlink" Target="https://filmdistributorsassociation.com/the-industry/databank/worldwide-box-office/top-10-territories/" TargetMode="External" Id="rId10"/><Relationship Type="http://schemas.openxmlformats.org/officeDocument/2006/relationships/hyperlink" Target="https://www.pwc.com/us/en/industries/tmt/library/global-entertainment-media-outlook.html" TargetMode="External" Id="rId11"/><Relationship Type="http://schemas.openxmlformats.org/officeDocument/2006/relationships/hyperlink" Target="https://www.pwc.in/pwc-global-entertainment-and-media-outlook-2026-2030-india-perspective.html" TargetMode="External" Id="rId12"/><Relationship Type="http://schemas.openxmlformats.org/officeDocument/2006/relationships/hyperlink" Target="https://www.exchange4media.com/digital-news/india-has-the-audience-but-is-the-monetisation-catching-up-158860.html" TargetMode="External" Id="rId13"/><Relationship Type="http://schemas.openxmlformats.org/officeDocument/2006/relationships/hyperlink" Target="https://www.bwmarketingworld.com/article/india-holds-1-of-global-ad-spend-emerges-as-fastest-growing-market-redseer-602769" TargetMode="External" Id="rId14"/><Relationship Type="http://schemas.openxmlformats.org/officeDocument/2006/relationships/hyperlink" Target="https://news.pollstar.com/2025/12/23/year-end-business-analysis-a-return-to-earth-2025-grosses-ticket-sales-drop-averages-increase-beyonce-oasis-coldplay-have-top-tours-venues-stadiums-rock/" TargetMode="External" Id="rId15"/><Relationship Type="http://schemas.openxmlformats.org/officeDocument/2006/relationships/hyperlink" Target="https://brandequity.economictimes.indiatimes.com/" TargetMode="External" Id="rId16"/><Relationship Type="http://schemas.openxmlformats.org/officeDocument/2006/relationships/hyperlink" Target="https://brandequity.economictimes.indiatimes.com/news/research/consumers-spent-59-more-time-on-digital-as-compared-to-tv-axis-my-india-survey/91936004" TargetMode="External" Id="rId17"/><Relationship Type="http://schemas.openxmlformats.org/officeDocument/2006/relationships/hyperlink" Target="https://data.worldbank.org/indicator/NY.GDP.PCAP.CD" TargetMode="External" Id="rId18"/><Relationship Type="http://schemas.openxmlformats.org/officeDocument/2006/relationships/hyperlink" Target="https://www.ibef.org/industry/media-entertainment-india" TargetMode="External" Id="rId19"/><Relationship Type="http://schemas.openxmlformats.org/officeDocument/2006/relationships/hyperlink" Target="https://www.thedrum.com/news/despite-predicted-downturn-global-media-consumption-grew-yet-again-in-2025" TargetMode="External" Id="rId20"/></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 customWidth="1" min="1" max="1"/>
    <col width="34" customWidth="1" min="2" max="2"/>
    <col width="108" customWidth="1" min="3" max="3"/>
  </cols>
  <sheetData>
    <row r="1"/>
    <row r="2">
      <c r="B2" s="1" t="inlineStr">
        <is>
          <t>GLOBAL MEDIA CONSUMPTION INDEX</t>
        </is>
      </c>
    </row>
    <row r="3">
      <c r="B3" s="2" t="inlineStr">
        <is>
          <t>How 6 markets spend their entertainment time and money, across video, gaming, live events and audio (2020 → 2025)</t>
        </is>
      </c>
    </row>
    <row r="4"/>
    <row r="5" ht="60" customHeight="1">
      <c r="B5" s="3" t="inlineStr">
        <is>
          <t>What this is</t>
        </is>
      </c>
      <c r="C5" s="4" t="inlineStr">
        <is>
          <t>A cross-market consumption database. Six countries: India, United States, United Kingdom, Japan, South Korea, Brazil. Five time formats: linear TV, streaming video, social and short video, gaming, music and audio. Plus market size for seven revenue formats.</t>
        </is>
      </c>
    </row>
    <row r="6" ht="60" customHeight="1">
      <c r="B6" s="3" t="inlineStr">
        <is>
          <t>The headline it produces</t>
        </is>
      </c>
      <c r="C6" s="4" t="inlineStr">
        <is>
          <t>Attention is global, money is not. India consumes media time at close to the highest rate in this group and earns among the least per head. The argument is set out on sheet '11 Findings'.</t>
        </is>
      </c>
    </row>
    <row r="7" ht="60" customHeight="1">
      <c r="B7" s="3" t="inlineStr">
        <is>
          <t>Colour code</t>
        </is>
      </c>
      <c r="C7" s="4" t="inlineStr">
        <is>
          <t>GREEN = reported figure from a named source. ORANGE = derived or estimated by me (method stated in the row). YELLOW = your input / assumption to change. Every row carries a source ID that maps to sheet '12 Sources'.</t>
        </is>
      </c>
    </row>
    <row r="8" ht="60" customHeight="1">
      <c r="B8" s="3" t="inlineStr">
        <is>
          <t>Data quality</t>
        </is>
      </c>
      <c r="C8" s="4" t="inlineStr">
        <is>
          <t>Every row is tagged Reported, Derived or Estimated. Derived means computed from a reported figure, for example Netflix minutes from total TV time multiplied by streaming share. Estimated means scaled or inferred, so treat it as a range rather than a point.</t>
        </is>
      </c>
    </row>
    <row r="9" ht="60" customHeight="1">
      <c r="B9" s="3" t="inlineStr">
        <is>
          <t>Caveat</t>
        </is>
      </c>
      <c r="C9" s="4" t="inlineStr">
        <is>
          <t>Time-spent figures are not additive across sources. Ofcom measures in-home video on TV sets. Nielsen measures TV-screen time. DataReportal measures self-reported internet time across all devices. Axis My India measures self-reported media time in India. Different definitions, samples and devices, so the categories overlap and totals double-count. Do not sum across sources. The matrices on sheets 7 to 9 only sum within one source family, and are labelled that way.</t>
        </is>
      </c>
    </row>
    <row r="10" ht="60" customHeight="1">
      <c r="B10" s="3" t="inlineStr">
        <is>
          <t>Another caveat</t>
        </is>
      </c>
      <c r="C10" s="4" t="inlineStr">
        <is>
          <t>Market-size rows mix consumer spend and advertising spend, because sources do. Each row states what is included in the 'Definition' column. Never compare two rows without reading it.</t>
        </is>
      </c>
    </row>
    <row r="11" ht="60" customHeight="1">
      <c r="B11" s="3" t="inlineStr">
        <is>
          <t>The index</t>
        </is>
      </c>
      <c r="C11" s="4" t="inlineStr">
        <is>
          <t>Sheet '6 Monetisation index' converts everything into one number that can be compared across markets: USD of industry revenue per 1,000 hours of attention. Dividing by attention is what makes a small market and a large one comparable.</t>
        </is>
      </c>
    </row>
    <row r="12" ht="60" customHeight="1">
      <c r="B12" s="3" t="inlineStr">
        <is>
          <t>How to use this</t>
        </is>
      </c>
      <c r="C12" s="4" t="inlineStr">
        <is>
          <t>Start from a question, pull the numbers that answer it from the matrices, check the source row before using any of them, then write the finding down on the findings sheet.</t>
        </is>
      </c>
    </row>
    <row r="13" ht="60" customHeight="1">
      <c r="B13" s="3" t="inlineStr">
        <is>
          <t>One more caveat</t>
        </is>
      </c>
      <c r="C13" s="4" t="inlineStr">
        <is>
          <t>The screen-economy figures on sheet 1 come from MPA and cover TV plus online video only. Gaming and publishing are outside that definition. It is applied the same way to all six countries so the comparison holds, but it is not total entertainment and media revenue. Note which definition is being used whenever a per-capita number is quoted.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1" customWidth="1" min="3" max="3"/>
    <col width="11" customWidth="1" min="4" max="4"/>
    <col width="12" customWidth="1" min="5" max="5"/>
    <col width="13" customWidth="1" min="6" max="6"/>
    <col width="13" customWidth="1" min="7" max="7"/>
    <col width="13" customWidth="1" min="8" max="8"/>
    <col width="13" customWidth="1" min="9" max="9"/>
    <col width="12" customWidth="1" min="10" max="10"/>
    <col width="40" customWidth="1" min="11" max="11"/>
  </cols>
  <sheetData>
    <row r="1">
      <c r="A1" s="1" t="inlineStr">
        <is>
          <t>COUNTRY UNIVERSE, the six markets, and the money-per-attention gap</t>
        </is>
      </c>
    </row>
    <row r="2">
      <c r="A2" s="2" t="inlineStr">
        <is>
          <t>Per-capita figures are the great equaliser: they strip out population and expose how differently each market monetises the same human behaviour.</t>
        </is>
      </c>
    </row>
    <row r="3"/>
    <row r="4" ht="30" customHeight="1">
      <c r="A4" s="5" t="inlineStr">
        <is>
          <t>Country</t>
        </is>
      </c>
      <c r="B4" s="5" t="inlineStr">
        <is>
          <t>Population (m)</t>
        </is>
      </c>
      <c r="C4" s="5" t="inlineStr">
        <is>
          <t>Internet users (m)</t>
        </is>
      </c>
      <c r="D4" s="5" t="inlineStr">
        <is>
          <t>Internet penetration</t>
        </is>
      </c>
      <c r="E4" s="5" t="inlineStr">
        <is>
          <t>GDP per capita (USD)</t>
        </is>
      </c>
      <c r="F4" s="5" t="inlineStr">
        <is>
          <t>Screen economy (USD bn)</t>
        </is>
      </c>
      <c r="G4" s="5" t="inlineStr">
        <is>
          <t>Screen economy per capita (USD)</t>
        </is>
      </c>
      <c r="H4" s="5" t="inlineStr">
        <is>
          <t>Digital ad spend per capita (USD)</t>
        </is>
      </c>
      <c r="I4" s="5" t="inlineStr">
        <is>
          <t>Total media time (min/day)</t>
        </is>
      </c>
      <c r="J4" s="5" t="inlineStr">
        <is>
          <t>Annual attention (hours)</t>
        </is>
      </c>
      <c r="K4" s="5" t="inlineStr">
        <is>
          <t>Data quality / source</t>
        </is>
      </c>
    </row>
    <row r="5" ht="26" customHeight="1">
      <c r="A5" s="6" t="inlineStr">
        <is>
          <t>India</t>
        </is>
      </c>
      <c r="B5" s="7" t="n">
        <v>1450</v>
      </c>
      <c r="C5" s="7" t="n">
        <v>900</v>
      </c>
      <c r="D5" s="8" t="n">
        <v>0.6206896551724138</v>
      </c>
      <c r="E5" s="7" t="n">
        <v>2703</v>
      </c>
      <c r="F5" s="9" t="n">
        <v>12.4</v>
      </c>
      <c r="G5" s="10">
        <f>F5*1000/B5</f>
        <v>8.5517241379</v>
      </c>
      <c r="H5" s="11" t="n">
        <v>8</v>
      </c>
      <c r="I5" s="7" t="n">
        <v>480</v>
      </c>
      <c r="J5" s="7">
        <f>I5*365/60</f>
        <v>2920.0</v>
      </c>
      <c r="K5" s="12" t="inlineStr">
        <is>
          <t>Reported, S13, S18</t>
        </is>
      </c>
    </row>
    <row r="6" ht="26" customHeight="1">
      <c r="A6" s="6" t="inlineStr">
        <is>
          <t>United States</t>
        </is>
      </c>
      <c r="B6" s="7" t="n">
        <v>342</v>
      </c>
      <c r="C6" s="7" t="n">
        <v>320</v>
      </c>
      <c r="D6" s="8" t="n">
        <v>0.935672514619883</v>
      </c>
      <c r="E6" s="7" t="n">
        <v>90027</v>
      </c>
      <c r="F6" s="9" t="n">
        <v>305</v>
      </c>
      <c r="G6" s="10">
        <f>F6*1000/B6</f>
        <v>891.8128654971</v>
      </c>
      <c r="H6" s="11" t="n">
        <v>1000</v>
      </c>
      <c r="I6" s="7" t="n">
        <v>660</v>
      </c>
      <c r="J6" s="7">
        <f>I6*365/60</f>
        <v>4015.0</v>
      </c>
      <c r="K6" s="12" t="inlineStr">
        <is>
          <t>Reported, S13, S18</t>
        </is>
      </c>
    </row>
    <row r="7" ht="26" customHeight="1">
      <c r="A7" s="6" t="inlineStr">
        <is>
          <t>United Kingdom</t>
        </is>
      </c>
      <c r="B7" s="7" t="n">
        <v>69</v>
      </c>
      <c r="C7" s="7" t="n">
        <v>66</v>
      </c>
      <c r="D7" s="8" t="n">
        <v>0.9565217391304348</v>
      </c>
      <c r="E7" s="7" t="n">
        <v>52000</v>
      </c>
      <c r="F7" s="13" t="n">
        <v>28</v>
      </c>
      <c r="G7" s="14">
        <f>F7*1000/B7</f>
        <v>405.7971014493</v>
      </c>
      <c r="H7" s="11" t="n">
        <v>640</v>
      </c>
      <c r="I7" s="7" t="n">
        <v>660</v>
      </c>
      <c r="J7" s="7">
        <f>I7*365/60</f>
        <v>4015.0</v>
      </c>
      <c r="K7" s="12" t="inlineStr">
        <is>
          <t>Estimated, S1, S11, S18</t>
        </is>
      </c>
    </row>
    <row r="8" ht="26" customHeight="1">
      <c r="A8" s="6" t="inlineStr">
        <is>
          <t>Japan</t>
        </is>
      </c>
      <c r="B8" s="7" t="n">
        <v>123</v>
      </c>
      <c r="C8" s="7" t="n">
        <v>106</v>
      </c>
      <c r="D8" s="8" t="n">
        <v>0.8617886178861789</v>
      </c>
      <c r="E8" s="7" t="n">
        <v>35951</v>
      </c>
      <c r="F8" s="9" t="n">
        <v>34</v>
      </c>
      <c r="G8" s="10">
        <f>F8*1000/B8</f>
        <v>276.4227642276</v>
      </c>
      <c r="H8" s="11" t="n">
        <v>430</v>
      </c>
      <c r="I8" s="7" t="n">
        <v>780</v>
      </c>
      <c r="J8" s="7">
        <f>I8*365/60</f>
        <v>4745.0</v>
      </c>
      <c r="K8" s="12" t="inlineStr">
        <is>
          <t>Reported, S13, S18</t>
        </is>
      </c>
    </row>
    <row r="9" ht="26" customHeight="1">
      <c r="A9" s="6" t="inlineStr">
        <is>
          <t>South Korea</t>
        </is>
      </c>
      <c r="B9" s="7" t="n">
        <v>52</v>
      </c>
      <c r="C9" s="7" t="n">
        <v>50</v>
      </c>
      <c r="D9" s="8" t="n">
        <v>0.9615384615384616</v>
      </c>
      <c r="E9" s="7" t="n">
        <v>36000</v>
      </c>
      <c r="F9" s="9" t="n">
        <v>13</v>
      </c>
      <c r="G9" s="10">
        <f>F9*1000/B9</f>
        <v>250.0</v>
      </c>
      <c r="H9" s="11" t="n">
        <v>480</v>
      </c>
      <c r="I9" s="7" t="n">
        <v>660</v>
      </c>
      <c r="J9" s="7">
        <f>I9*365/60</f>
        <v>4015.0</v>
      </c>
      <c r="K9" s="12" t="inlineStr">
        <is>
          <t>Reported, S13, S18</t>
        </is>
      </c>
    </row>
    <row r="10" ht="26" customHeight="1">
      <c r="A10" s="6" t="inlineStr">
        <is>
          <t>Brazil</t>
        </is>
      </c>
      <c r="B10" s="7" t="n">
        <v>212</v>
      </c>
      <c r="C10" s="7" t="n">
        <v>182</v>
      </c>
      <c r="D10" s="8" t="n">
        <v>0.8584905660377359</v>
      </c>
      <c r="E10" s="7" t="n">
        <v>10300</v>
      </c>
      <c r="F10" s="13" t="n">
        <v>12</v>
      </c>
      <c r="G10" s="14">
        <f>F10*1000/B10</f>
        <v>56.6037735849</v>
      </c>
      <c r="H10" s="11" t="n">
        <v>55</v>
      </c>
      <c r="I10" s="7" t="n">
        <v>645</v>
      </c>
      <c r="J10" s="7">
        <f>I10*365/60</f>
        <v>3923.75</v>
      </c>
      <c r="K10" s="12" t="inlineStr">
        <is>
          <t>Estimated, S18, S11</t>
        </is>
      </c>
    </row>
    <row r="11"/>
    <row r="12" ht="30" customHeight="1">
      <c r="A12" s="15" t="inlineStr">
        <is>
          <t>Read this</t>
        </is>
      </c>
      <c r="B12" s="16" t="inlineStr">
        <is>
          <t>India's digital ad spend per head is roughly one hundred and twenty-fifth of the US figure. That is a monetisation problem rather than a market-size problem, and it is the finding the rest of this workbook hangs on.</t>
        </is>
      </c>
      <c r="C12" s="17" t="n"/>
      <c r="D12" s="17" t="n"/>
      <c r="E12" s="17" t="n"/>
      <c r="F12" s="17" t="n"/>
      <c r="G12" s="17" t="n"/>
      <c r="H12" s="17" t="n"/>
      <c r="I12" s="17" t="n"/>
      <c r="J12" s="17" t="n"/>
      <c r="K12" s="18" t="n"/>
    </row>
    <row r="13">
      <c r="B13" s="19" t="n"/>
      <c r="C13" s="20" t="n"/>
      <c r="D13" s="20" t="n"/>
      <c r="E13" s="20" t="n"/>
      <c r="F13" s="20" t="n"/>
      <c r="G13" s="20" t="n"/>
      <c r="H13" s="20" t="n"/>
      <c r="I13" s="20" t="n"/>
      <c r="J13" s="20" t="n"/>
      <c r="K13" s="21" t="n"/>
    </row>
  </sheetData>
  <mergeCells count="1">
    <mergeCell ref="B12:K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2" customWidth="1" min="4" max="4"/>
    <col width="11" customWidth="1" min="5" max="5"/>
    <col width="11" customWidth="1" min="6" max="6"/>
    <col width="13" customWidth="1" min="7" max="7"/>
    <col width="34" customWidth="1" min="8" max="8"/>
  </cols>
  <sheetData>
    <row r="1">
      <c r="A1" s="1" t="inlineStr">
        <is>
          <t>TIME DATABASE, minutes per person per day, by market and format</t>
        </is>
      </c>
    </row>
    <row r="2">
      <c r="A2" s="2" t="inlineStr">
        <is>
          <t>Non-additive across sources (see READ ME). Rows marked 'Estimated' for 2020 are back-casts used only to show direction of travel.</t>
        </is>
      </c>
    </row>
    <row r="3"/>
    <row r="4" ht="30" customHeight="1">
      <c r="A4" s="5" t="inlineStr">
        <is>
          <t>Country</t>
        </is>
      </c>
      <c r="B4" s="5" t="inlineStr">
        <is>
          <t>Format</t>
        </is>
      </c>
      <c r="C4" s="5" t="inlineStr">
        <is>
          <t>2020 (min/day)</t>
        </is>
      </c>
      <c r="D4" s="5" t="inlineStr">
        <is>
          <t>2025 (min/day)</t>
        </is>
      </c>
      <c r="E4" s="5" t="inlineStr">
        <is>
          <t>Change</t>
        </is>
      </c>
      <c r="F4" s="5" t="inlineStr">
        <is>
          <t>CAGR 20-25</t>
        </is>
      </c>
      <c r="G4" s="5" t="inlineStr">
        <is>
          <t>Data quality</t>
        </is>
      </c>
      <c r="H4" s="5" t="inlineStr">
        <is>
          <t>Source</t>
        </is>
      </c>
    </row>
    <row r="5">
      <c r="A5" s="22" t="inlineStr">
        <is>
          <t>India</t>
        </is>
      </c>
      <c r="B5" s="22" t="inlineStr">
        <is>
          <t>TV (linear)</t>
        </is>
      </c>
      <c r="C5" s="7" t="n">
        <v>78</v>
      </c>
      <c r="D5" s="23" t="n">
        <v>65</v>
      </c>
      <c r="E5" s="24">
        <f>D5-C5</f>
        <v>-13.0</v>
      </c>
      <c r="F5" s="8">
        <f>(D5/C5)^(1/5)-1</f>
        <v>-0.035807496</v>
      </c>
      <c r="G5" s="25" t="inlineStr">
        <is>
          <t>Reported</t>
        </is>
      </c>
      <c r="H5" s="26" t="inlineStr">
        <is>
          <t>S17</t>
        </is>
      </c>
    </row>
    <row r="6">
      <c r="A6" s="22" t="inlineStr">
        <is>
          <t>India</t>
        </is>
      </c>
      <c r="B6" s="22" t="inlineStr">
        <is>
          <t>Streaming video</t>
        </is>
      </c>
      <c r="C6" s="7" t="n">
        <v>42</v>
      </c>
      <c r="D6" s="23" t="n">
        <v>70</v>
      </c>
      <c r="E6" s="24">
        <f>D6-C6</f>
        <v>28.0</v>
      </c>
      <c r="F6" s="8">
        <f>(D6/C6)^(1/5)-1</f>
        <v>0.1075663432</v>
      </c>
      <c r="G6" s="25" t="inlineStr">
        <is>
          <t>Reported</t>
        </is>
      </c>
      <c r="H6" s="26" t="inlineStr">
        <is>
          <t>S16</t>
        </is>
      </c>
    </row>
    <row r="7">
      <c r="A7" s="22" t="inlineStr">
        <is>
          <t>India</t>
        </is>
      </c>
      <c r="B7" s="22" t="inlineStr">
        <is>
          <t>Social &amp; short video</t>
        </is>
      </c>
      <c r="C7" s="7" t="n">
        <v>110</v>
      </c>
      <c r="D7" s="27" t="n">
        <v>140</v>
      </c>
      <c r="E7" s="24">
        <f>D7-C7</f>
        <v>30.0</v>
      </c>
      <c r="F7" s="8">
        <f>(D7/C7)^(1/5)-1</f>
        <v>0.0494145228</v>
      </c>
      <c r="G7" s="28" t="inlineStr">
        <is>
          <t>Estimated</t>
        </is>
      </c>
      <c r="H7" s="26" t="inlineStr">
        <is>
          <t>S4, S5</t>
        </is>
      </c>
    </row>
    <row r="8">
      <c r="A8" s="22" t="inlineStr">
        <is>
          <t>India</t>
        </is>
      </c>
      <c r="B8" s="22" t="inlineStr">
        <is>
          <t>Gaming</t>
        </is>
      </c>
      <c r="C8" s="7" t="n">
        <v>60</v>
      </c>
      <c r="D8" s="23" t="n">
        <v>75</v>
      </c>
      <c r="E8" s="24">
        <f>D8-C8</f>
        <v>15.0</v>
      </c>
      <c r="F8" s="8">
        <f>(D8/C8)^(1/5)-1</f>
        <v>0.0456395526</v>
      </c>
      <c r="G8" s="25" t="inlineStr">
        <is>
          <t>Reported</t>
        </is>
      </c>
      <c r="H8" s="26" t="inlineStr">
        <is>
          <t>S8</t>
        </is>
      </c>
    </row>
    <row r="9">
      <c r="A9" s="22" t="inlineStr">
        <is>
          <t>India</t>
        </is>
      </c>
      <c r="B9" s="22" t="inlineStr">
        <is>
          <t>Music &amp; audio</t>
        </is>
      </c>
      <c r="C9" s="7" t="n">
        <v>35</v>
      </c>
      <c r="D9" s="27" t="n">
        <v>45</v>
      </c>
      <c r="E9" s="24">
        <f>D9-C9</f>
        <v>10.0</v>
      </c>
      <c r="F9" s="8">
        <f>(D9/C9)^(1/5)-1</f>
        <v>0.0515474968</v>
      </c>
      <c r="G9" s="28" t="inlineStr">
        <is>
          <t>Estimated</t>
        </is>
      </c>
      <c r="H9" s="26" t="inlineStr">
        <is>
          <t>S5, S19</t>
        </is>
      </c>
    </row>
    <row r="10">
      <c r="A10" s="22" t="inlineStr">
        <is>
          <t>United States</t>
        </is>
      </c>
      <c r="B10" s="22" t="inlineStr">
        <is>
          <t>TV (linear)</t>
        </is>
      </c>
      <c r="C10" s="7" t="n">
        <v>130</v>
      </c>
      <c r="D10" s="27" t="n">
        <v>104</v>
      </c>
      <c r="E10" s="24">
        <f>D10-C10</f>
        <v>-26.0</v>
      </c>
      <c r="F10" s="8">
        <f>(D10/C10)^(1/5)-1</f>
        <v>-0.0436475002</v>
      </c>
      <c r="G10" s="28" t="inlineStr">
        <is>
          <t>Derived</t>
        </is>
      </c>
      <c r="H10" s="26" t="inlineStr">
        <is>
          <t>S2</t>
        </is>
      </c>
    </row>
    <row r="11">
      <c r="A11" s="22" t="inlineStr">
        <is>
          <t>United States</t>
        </is>
      </c>
      <c r="B11" s="22" t="inlineStr">
        <is>
          <t>Streaming video</t>
        </is>
      </c>
      <c r="C11" s="7" t="n">
        <v>75</v>
      </c>
      <c r="D11" s="27" t="n">
        <v>118</v>
      </c>
      <c r="E11" s="24">
        <f>D11-C11</f>
        <v>43.0</v>
      </c>
      <c r="F11" s="8">
        <f>(D11/C11)^(1/5)-1</f>
        <v>0.0948740154</v>
      </c>
      <c r="G11" s="28" t="inlineStr">
        <is>
          <t>Derived</t>
        </is>
      </c>
      <c r="H11" s="26" t="inlineStr">
        <is>
          <t>S2</t>
        </is>
      </c>
    </row>
    <row r="12">
      <c r="A12" s="22" t="inlineStr">
        <is>
          <t>United States</t>
        </is>
      </c>
      <c r="B12" s="22" t="inlineStr">
        <is>
          <t>Social &amp; short video</t>
        </is>
      </c>
      <c r="C12" s="7" t="n">
        <v>105</v>
      </c>
      <c r="D12" s="23" t="n">
        <v>136</v>
      </c>
      <c r="E12" s="24">
        <f>D12-C12</f>
        <v>31.0</v>
      </c>
      <c r="F12" s="8">
        <f>(D12/C12)^(1/5)-1</f>
        <v>0.0531007495</v>
      </c>
      <c r="G12" s="25" t="inlineStr">
        <is>
          <t>Reported</t>
        </is>
      </c>
      <c r="H12" s="26" t="inlineStr">
        <is>
          <t>S4</t>
        </is>
      </c>
    </row>
    <row r="13">
      <c r="A13" s="22" t="inlineStr">
        <is>
          <t>United States</t>
        </is>
      </c>
      <c r="B13" s="22" t="inlineStr">
        <is>
          <t>Gaming</t>
        </is>
      </c>
      <c r="C13" s="7" t="n">
        <v>75</v>
      </c>
      <c r="D13" s="27" t="n">
        <v>60</v>
      </c>
      <c r="E13" s="24">
        <f>D13-C13</f>
        <v>-15.0</v>
      </c>
      <c r="F13" s="8">
        <f>(D13/C13)^(1/5)-1</f>
        <v>-0.0436475002</v>
      </c>
      <c r="G13" s="28" t="inlineStr">
        <is>
          <t>Estimated</t>
        </is>
      </c>
      <c r="H13" s="26" t="inlineStr">
        <is>
          <t>S6</t>
        </is>
      </c>
    </row>
    <row r="14">
      <c r="A14" s="22" t="inlineStr">
        <is>
          <t>United States</t>
        </is>
      </c>
      <c r="B14" s="22" t="inlineStr">
        <is>
          <t>Music &amp; audio</t>
        </is>
      </c>
      <c r="C14" s="7" t="n">
        <v>55</v>
      </c>
      <c r="D14" s="27" t="n">
        <v>60</v>
      </c>
      <c r="E14" s="24">
        <f>D14-C14</f>
        <v>5.0</v>
      </c>
      <c r="F14" s="8">
        <f>(D14/C14)^(1/5)-1</f>
        <v>0.0175545772</v>
      </c>
      <c r="G14" s="28" t="inlineStr">
        <is>
          <t>Estimated</t>
        </is>
      </c>
      <c r="H14" s="26" t="inlineStr">
        <is>
          <t>S9</t>
        </is>
      </c>
    </row>
    <row r="15">
      <c r="A15" s="22" t="inlineStr">
        <is>
          <t>United Kingdom</t>
        </is>
      </c>
      <c r="B15" s="22" t="inlineStr">
        <is>
          <t>TV (linear)</t>
        </is>
      </c>
      <c r="C15" s="7" t="n">
        <v>192</v>
      </c>
      <c r="D15" s="23" t="n">
        <v>111</v>
      </c>
      <c r="E15" s="24">
        <f>D15-C15</f>
        <v>-81.0</v>
      </c>
      <c r="F15" s="8">
        <f>(D15/C15)^(1/5)-1</f>
        <v>-0.1038012166</v>
      </c>
      <c r="G15" s="25" t="inlineStr">
        <is>
          <t>Reported</t>
        </is>
      </c>
      <c r="H15" s="26" t="inlineStr">
        <is>
          <t>S1</t>
        </is>
      </c>
    </row>
    <row r="16">
      <c r="A16" s="22" t="inlineStr">
        <is>
          <t>United Kingdom</t>
        </is>
      </c>
      <c r="B16" s="22" t="inlineStr">
        <is>
          <t>Streaming video</t>
        </is>
      </c>
      <c r="C16" s="7" t="n">
        <v>65</v>
      </c>
      <c r="D16" s="27" t="n">
        <v>152</v>
      </c>
      <c r="E16" s="24">
        <f>D16-C16</f>
        <v>87.0</v>
      </c>
      <c r="F16" s="8">
        <f>(D16/C16)^(1/5)-1</f>
        <v>0.185184727</v>
      </c>
      <c r="G16" s="28" t="inlineStr">
        <is>
          <t>Derived</t>
        </is>
      </c>
      <c r="H16" s="26" t="inlineStr">
        <is>
          <t>S1</t>
        </is>
      </c>
    </row>
    <row r="17">
      <c r="A17" s="22" t="inlineStr">
        <is>
          <t>United Kingdom</t>
        </is>
      </c>
      <c r="B17" s="22" t="inlineStr">
        <is>
          <t>Social &amp; short video</t>
        </is>
      </c>
      <c r="C17" s="7" t="n">
        <v>80</v>
      </c>
      <c r="D17" s="23" t="n">
        <v>97</v>
      </c>
      <c r="E17" s="24">
        <f>D17-C17</f>
        <v>17.0</v>
      </c>
      <c r="F17" s="8">
        <f>(D17/C17)^(1/5)-1</f>
        <v>0.039289045</v>
      </c>
      <c r="G17" s="25" t="inlineStr">
        <is>
          <t>Reported</t>
        </is>
      </c>
      <c r="H17" s="26" t="inlineStr">
        <is>
          <t>S4</t>
        </is>
      </c>
    </row>
    <row r="18">
      <c r="A18" s="22" t="inlineStr">
        <is>
          <t>United Kingdom</t>
        </is>
      </c>
      <c r="B18" s="22" t="inlineStr">
        <is>
          <t>Gaming</t>
        </is>
      </c>
      <c r="C18" s="7" t="n">
        <v>65</v>
      </c>
      <c r="D18" s="27" t="n">
        <v>55</v>
      </c>
      <c r="E18" s="24">
        <f>D18-C18</f>
        <v>-10.0</v>
      </c>
      <c r="F18" s="8">
        <f>(D18/C18)^(1/5)-1</f>
        <v>-0.03285884</v>
      </c>
      <c r="G18" s="28" t="inlineStr">
        <is>
          <t>Estimated</t>
        </is>
      </c>
      <c r="H18" s="26" t="inlineStr">
        <is>
          <t>S6</t>
        </is>
      </c>
    </row>
    <row r="19">
      <c r="A19" s="22" t="inlineStr">
        <is>
          <t>United Kingdom</t>
        </is>
      </c>
      <c r="B19" s="22" t="inlineStr">
        <is>
          <t>Music &amp; audio</t>
        </is>
      </c>
      <c r="C19" s="7" t="n">
        <v>50</v>
      </c>
      <c r="D19" s="27" t="n">
        <v>55</v>
      </c>
      <c r="E19" s="24">
        <f>D19-C19</f>
        <v>5.0</v>
      </c>
      <c r="F19" s="8">
        <f>(D19/C19)^(1/5)-1</f>
        <v>0.0192448765</v>
      </c>
      <c r="G19" s="28" t="inlineStr">
        <is>
          <t>Estimated</t>
        </is>
      </c>
      <c r="H19" s="26" t="inlineStr">
        <is>
          <t>S9</t>
        </is>
      </c>
    </row>
    <row r="20">
      <c r="A20" s="22" t="inlineStr">
        <is>
          <t>Japan</t>
        </is>
      </c>
      <c r="B20" s="22" t="inlineStr">
        <is>
          <t>TV (linear)</t>
        </is>
      </c>
      <c r="C20" s="7" t="n">
        <v>235</v>
      </c>
      <c r="D20" s="23" t="n">
        <v>217</v>
      </c>
      <c r="E20" s="24">
        <f>D20-C20</f>
        <v>-18.0</v>
      </c>
      <c r="F20" s="8">
        <f>(D20/C20)^(1/5)-1</f>
        <v>-0.0158113001</v>
      </c>
      <c r="G20" s="25" t="inlineStr">
        <is>
          <t>Reported</t>
        </is>
      </c>
      <c r="H20" s="26" t="inlineStr">
        <is>
          <t>S3</t>
        </is>
      </c>
    </row>
    <row r="21">
      <c r="A21" s="22" t="inlineStr">
        <is>
          <t>Japan</t>
        </is>
      </c>
      <c r="B21" s="22" t="inlineStr">
        <is>
          <t>Streaming video</t>
        </is>
      </c>
      <c r="C21" s="7" t="n">
        <v>30</v>
      </c>
      <c r="D21" s="27" t="n">
        <v>50</v>
      </c>
      <c r="E21" s="24">
        <f>D21-C21</f>
        <v>20.0</v>
      </c>
      <c r="F21" s="8">
        <f>(D21/C21)^(1/5)-1</f>
        <v>0.1075663432</v>
      </c>
      <c r="G21" s="28" t="inlineStr">
        <is>
          <t>Estimated</t>
        </is>
      </c>
      <c r="H21" s="26" t="inlineStr">
        <is>
          <t>S3</t>
        </is>
      </c>
    </row>
    <row r="22">
      <c r="A22" s="22" t="inlineStr">
        <is>
          <t>Japan</t>
        </is>
      </c>
      <c r="B22" s="22" t="inlineStr">
        <is>
          <t>Social &amp; short video</t>
        </is>
      </c>
      <c r="C22" s="7" t="n">
        <v>35</v>
      </c>
      <c r="D22" s="23" t="n">
        <v>50</v>
      </c>
      <c r="E22" s="24">
        <f>D22-C22</f>
        <v>15.0</v>
      </c>
      <c r="F22" s="8">
        <f>(D22/C22)^(1/5)-1</f>
        <v>0.0739409238</v>
      </c>
      <c r="G22" s="25" t="inlineStr">
        <is>
          <t>Reported</t>
        </is>
      </c>
      <c r="H22" s="26" t="inlineStr">
        <is>
          <t>S4</t>
        </is>
      </c>
    </row>
    <row r="23">
      <c r="A23" s="22" t="inlineStr">
        <is>
          <t>Japan</t>
        </is>
      </c>
      <c r="B23" s="22" t="inlineStr">
        <is>
          <t>Gaming</t>
        </is>
      </c>
      <c r="C23" s="7" t="n">
        <v>55</v>
      </c>
      <c r="D23" s="27" t="n">
        <v>60</v>
      </c>
      <c r="E23" s="24">
        <f>D23-C23</f>
        <v>5.0</v>
      </c>
      <c r="F23" s="8">
        <f>(D23/C23)^(1/5)-1</f>
        <v>0.0175545772</v>
      </c>
      <c r="G23" s="28" t="inlineStr">
        <is>
          <t>Estimated</t>
        </is>
      </c>
      <c r="H23" s="26" t="inlineStr">
        <is>
          <t>S6</t>
        </is>
      </c>
    </row>
    <row r="24">
      <c r="A24" s="22" t="inlineStr">
        <is>
          <t>Japan</t>
        </is>
      </c>
      <c r="B24" s="22" t="inlineStr">
        <is>
          <t>Music &amp; audio</t>
        </is>
      </c>
      <c r="C24" s="7" t="n">
        <v>35</v>
      </c>
      <c r="D24" s="27" t="n">
        <v>40</v>
      </c>
      <c r="E24" s="24">
        <f>D24-C24</f>
        <v>5.0</v>
      </c>
      <c r="F24" s="8">
        <f>(D24/C24)^(1/5)-1</f>
        <v>0.0270660871</v>
      </c>
      <c r="G24" s="28" t="inlineStr">
        <is>
          <t>Estimated</t>
        </is>
      </c>
      <c r="H24" s="26" t="inlineStr">
        <is>
          <t>S9</t>
        </is>
      </c>
    </row>
    <row r="25">
      <c r="A25" s="22" t="inlineStr">
        <is>
          <t>South Korea</t>
        </is>
      </c>
      <c r="B25" s="22" t="inlineStr">
        <is>
          <t>TV (linear)</t>
        </is>
      </c>
      <c r="C25" s="7" t="n">
        <v>215</v>
      </c>
      <c r="D25" s="23" t="n">
        <v>199</v>
      </c>
      <c r="E25" s="24">
        <f>D25-C25</f>
        <v>-16.0</v>
      </c>
      <c r="F25" s="8">
        <f>(D25/C25)^(1/5)-1</f>
        <v>-0.0153476465</v>
      </c>
      <c r="G25" s="25" t="inlineStr">
        <is>
          <t>Reported</t>
        </is>
      </c>
      <c r="H25" s="26" t="inlineStr">
        <is>
          <t>S3</t>
        </is>
      </c>
    </row>
    <row r="26">
      <c r="A26" s="22" t="inlineStr">
        <is>
          <t>South Korea</t>
        </is>
      </c>
      <c r="B26" s="22" t="inlineStr">
        <is>
          <t>Streaming video</t>
        </is>
      </c>
      <c r="C26" s="7" t="n">
        <v>35</v>
      </c>
      <c r="D26" s="27" t="n">
        <v>55</v>
      </c>
      <c r="E26" s="24">
        <f>D26-C26</f>
        <v>20.0</v>
      </c>
      <c r="F26" s="8">
        <f>(D26/C26)^(1/5)-1</f>
        <v>0.0946087842</v>
      </c>
      <c r="G26" s="28" t="inlineStr">
        <is>
          <t>Estimated</t>
        </is>
      </c>
      <c r="H26" s="26" t="inlineStr">
        <is>
          <t>S3</t>
        </is>
      </c>
    </row>
    <row r="27">
      <c r="A27" s="22" t="inlineStr">
        <is>
          <t>South Korea</t>
        </is>
      </c>
      <c r="B27" s="22" t="inlineStr">
        <is>
          <t>Social &amp; short video</t>
        </is>
      </c>
      <c r="C27" s="7" t="n">
        <v>50</v>
      </c>
      <c r="D27" s="23" t="n">
        <v>70</v>
      </c>
      <c r="E27" s="24">
        <f>D27-C27</f>
        <v>20.0</v>
      </c>
      <c r="F27" s="8">
        <f>(D27/C27)^(1/5)-1</f>
        <v>0.0696103757</v>
      </c>
      <c r="G27" s="25" t="inlineStr">
        <is>
          <t>Reported</t>
        </is>
      </c>
      <c r="H27" s="26" t="inlineStr">
        <is>
          <t>S4</t>
        </is>
      </c>
    </row>
    <row r="28">
      <c r="A28" s="22" t="inlineStr">
        <is>
          <t>South Korea</t>
        </is>
      </c>
      <c r="B28" s="22" t="inlineStr">
        <is>
          <t>Gaming</t>
        </is>
      </c>
      <c r="C28" s="7" t="n">
        <v>80</v>
      </c>
      <c r="D28" s="27" t="n">
        <v>90</v>
      </c>
      <c r="E28" s="24">
        <f>D28-C28</f>
        <v>10.0</v>
      </c>
      <c r="F28" s="8">
        <f>(D28/C28)^(1/5)-1</f>
        <v>0.0238362555</v>
      </c>
      <c r="G28" s="28" t="inlineStr">
        <is>
          <t>Estimated</t>
        </is>
      </c>
      <c r="H28" s="26" t="inlineStr">
        <is>
          <t>S6</t>
        </is>
      </c>
    </row>
    <row r="29">
      <c r="A29" s="22" t="inlineStr">
        <is>
          <t>South Korea</t>
        </is>
      </c>
      <c r="B29" s="22" t="inlineStr">
        <is>
          <t>Music &amp; audio</t>
        </is>
      </c>
      <c r="C29" s="7" t="n">
        <v>45</v>
      </c>
      <c r="D29" s="27" t="n">
        <v>50</v>
      </c>
      <c r="E29" s="24">
        <f>D29-C29</f>
        <v>5.0</v>
      </c>
      <c r="F29" s="8">
        <f>(D29/C29)^(1/5)-1</f>
        <v>0.0212956876</v>
      </c>
      <c r="G29" s="28" t="inlineStr">
        <is>
          <t>Estimated</t>
        </is>
      </c>
      <c r="H29" s="26" t="inlineStr">
        <is>
          <t>S9</t>
        </is>
      </c>
    </row>
    <row r="30">
      <c r="A30" s="22" t="inlineStr">
        <is>
          <t>Brazil</t>
        </is>
      </c>
      <c r="B30" s="22" t="inlineStr">
        <is>
          <t>TV (linear)</t>
        </is>
      </c>
      <c r="C30" s="7" t="n">
        <v>230</v>
      </c>
      <c r="D30" s="27" t="n">
        <v>210</v>
      </c>
      <c r="E30" s="24">
        <f>D30-C30</f>
        <v>-20.0</v>
      </c>
      <c r="F30" s="8">
        <f>(D30/C30)^(1/5)-1</f>
        <v>-0.0180298376</v>
      </c>
      <c r="G30" s="28" t="inlineStr">
        <is>
          <t>Estimated</t>
        </is>
      </c>
      <c r="H30" s="26" t="inlineStr">
        <is>
          <t>S3, S19</t>
        </is>
      </c>
    </row>
    <row r="31">
      <c r="A31" s="22" t="inlineStr">
        <is>
          <t>Brazil</t>
        </is>
      </c>
      <c r="B31" s="22" t="inlineStr">
        <is>
          <t>Streaming video</t>
        </is>
      </c>
      <c r="C31" s="7" t="n">
        <v>45</v>
      </c>
      <c r="D31" s="27" t="n">
        <v>80</v>
      </c>
      <c r="E31" s="24">
        <f>D31-C31</f>
        <v>35.0</v>
      </c>
      <c r="F31" s="8">
        <f>(D31/C31)^(1/5)-1</f>
        <v>0.1219551454</v>
      </c>
      <c r="G31" s="28" t="inlineStr">
        <is>
          <t>Estimated</t>
        </is>
      </c>
      <c r="H31" s="26" t="inlineStr">
        <is>
          <t>S11</t>
        </is>
      </c>
    </row>
    <row r="32">
      <c r="A32" s="22" t="inlineStr">
        <is>
          <t>Brazil</t>
        </is>
      </c>
      <c r="B32" s="22" t="inlineStr">
        <is>
          <t>Social &amp; short video</t>
        </is>
      </c>
      <c r="C32" s="7" t="n">
        <v>165</v>
      </c>
      <c r="D32" s="23" t="n">
        <v>229</v>
      </c>
      <c r="E32" s="24">
        <f>D32-C32</f>
        <v>64.0</v>
      </c>
      <c r="F32" s="8">
        <f>(D32/C32)^(1/5)-1</f>
        <v>0.0677517887</v>
      </c>
      <c r="G32" s="25" t="inlineStr">
        <is>
          <t>Reported</t>
        </is>
      </c>
      <c r="H32" s="26" t="inlineStr">
        <is>
          <t>S4</t>
        </is>
      </c>
    </row>
    <row r="33">
      <c r="A33" s="22" t="inlineStr">
        <is>
          <t>Brazil</t>
        </is>
      </c>
      <c r="B33" s="22" t="inlineStr">
        <is>
          <t>Gaming</t>
        </is>
      </c>
      <c r="C33" s="7" t="n">
        <v>50</v>
      </c>
      <c r="D33" s="27" t="n">
        <v>55</v>
      </c>
      <c r="E33" s="24">
        <f>D33-C33</f>
        <v>5.0</v>
      </c>
      <c r="F33" s="8">
        <f>(D33/C33)^(1/5)-1</f>
        <v>0.0192448765</v>
      </c>
      <c r="G33" s="28" t="inlineStr">
        <is>
          <t>Estimated</t>
        </is>
      </c>
      <c r="H33" s="26" t="inlineStr">
        <is>
          <t>S6</t>
        </is>
      </c>
    </row>
    <row r="34">
      <c r="A34" s="22" t="inlineStr">
        <is>
          <t>Brazil</t>
        </is>
      </c>
      <c r="B34" s="22" t="inlineStr">
        <is>
          <t>Music &amp; audio</t>
        </is>
      </c>
      <c r="C34" s="7" t="n">
        <v>55</v>
      </c>
      <c r="D34" s="27" t="n">
        <v>70</v>
      </c>
      <c r="E34" s="24">
        <f>D34-C34</f>
        <v>15.0</v>
      </c>
      <c r="F34" s="8">
        <f>(D34/C34)^(1/5)-1</f>
        <v>0.0494145228</v>
      </c>
      <c r="G34" s="28" t="inlineStr">
        <is>
          <t>Estimated</t>
        </is>
      </c>
      <c r="H34" s="26" t="inlineStr">
        <is>
          <t>S9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3" customWidth="1" min="3" max="3"/>
    <col width="13" customWidth="1" min="4" max="4"/>
    <col width="11" customWidth="1" min="5" max="5"/>
    <col width="13" customWidth="1" min="6" max="6"/>
    <col width="34" customWidth="1" min="7" max="7"/>
    <col width="52" customWidth="1" min="8" max="8"/>
  </cols>
  <sheetData>
    <row r="1">
      <c r="A1" s="1" t="inlineStr">
        <is>
          <t>MARKET SIZE DATABASE, industry revenue in USD billion, by market and format (2025)</t>
        </is>
      </c>
    </row>
    <row r="2">
      <c r="A2" s="2" t="inlineStr">
        <is>
          <t>Read the Definition column before comparing any two rows. Sources mix consumer spend and advertising spend; each row states what is included.</t>
        </is>
      </c>
    </row>
    <row r="3"/>
    <row r="4" ht="30" customHeight="1">
      <c r="A4" s="5" t="inlineStr">
        <is>
          <t>Country</t>
        </is>
      </c>
      <c r="B4" s="5" t="inlineStr">
        <is>
          <t>Format</t>
        </is>
      </c>
      <c r="C4" s="5" t="inlineStr">
        <is>
          <t>2020 (USD bn)</t>
        </is>
      </c>
      <c r="D4" s="5" t="inlineStr">
        <is>
          <t>2025 (USD bn)</t>
        </is>
      </c>
      <c r="E4" s="5" t="inlineStr">
        <is>
          <t>CAGR 20-25</t>
        </is>
      </c>
      <c r="F4" s="5" t="inlineStr">
        <is>
          <t>Data quality</t>
        </is>
      </c>
      <c r="G4" s="5" t="inlineStr">
        <is>
          <t>Source</t>
        </is>
      </c>
      <c r="H4" s="5" t="inlineStr">
        <is>
          <t>Definition, what is included</t>
        </is>
      </c>
    </row>
    <row r="5">
      <c r="A5" s="22" t="inlineStr">
        <is>
          <t>India</t>
        </is>
      </c>
      <c r="B5" s="22" t="inlineStr">
        <is>
          <t>TV (linear)</t>
        </is>
      </c>
      <c r="C5" s="29" t="n">
        <v>10.5</v>
      </c>
      <c r="D5" s="30" t="n">
        <v>14.6</v>
      </c>
      <c r="E5" s="8">
        <f>(D5/C5)^(1/5)-1</f>
        <v>0.0681511474</v>
      </c>
      <c r="F5" s="28" t="inlineStr">
        <is>
          <t>Derived</t>
        </is>
      </c>
      <c r="G5" s="26" t="inlineStr">
        <is>
          <t>S11</t>
        </is>
      </c>
      <c r="H5" s="12" t="inlineStr">
        <is>
          <t>PwC traditional TV; ad + subscription</t>
        </is>
      </c>
    </row>
    <row r="6">
      <c r="A6" s="22" t="inlineStr">
        <is>
          <t>India</t>
        </is>
      </c>
      <c r="B6" s="22" t="inlineStr">
        <is>
          <t>OTT video</t>
        </is>
      </c>
      <c r="C6" s="29" t="n">
        <v>0.6</v>
      </c>
      <c r="D6" s="31" t="n">
        <v>2.2</v>
      </c>
      <c r="E6" s="8">
        <f>(D6/C6)^(1/5)-1</f>
        <v>0.2967441161</v>
      </c>
      <c r="F6" s="25" t="inlineStr">
        <is>
          <t>Reported</t>
        </is>
      </c>
      <c r="G6" s="26" t="inlineStr">
        <is>
          <t>S12</t>
        </is>
      </c>
      <c r="H6" s="12" t="inlineStr">
        <is>
          <t>PwC India OTT; 216.5m subs, ARPU $7.3/sub/yr</t>
        </is>
      </c>
    </row>
    <row r="7">
      <c r="A7" s="22" t="inlineStr">
        <is>
          <t>India</t>
        </is>
      </c>
      <c r="B7" s="22" t="inlineStr">
        <is>
          <t>Digital advertising</t>
        </is>
      </c>
      <c r="C7" s="29" t="n">
        <v>3.5</v>
      </c>
      <c r="D7" s="30" t="n">
        <v>11.6</v>
      </c>
      <c r="E7" s="8">
        <f>(D7/C7)^(1/5)-1</f>
        <v>0.2708022906</v>
      </c>
      <c r="F7" s="28" t="inlineStr">
        <is>
          <t>Derived</t>
        </is>
      </c>
      <c r="G7" s="26" t="inlineStr">
        <is>
          <t>S14, S5</t>
        </is>
      </c>
      <c r="H7" s="12" t="inlineStr">
        <is>
          <t>$8 per capita x population; incl. search &amp; social</t>
        </is>
      </c>
    </row>
    <row r="8">
      <c r="A8" s="22" t="inlineStr">
        <is>
          <t>India</t>
        </is>
      </c>
      <c r="B8" s="22" t="inlineStr">
        <is>
          <t>Gaming</t>
        </is>
      </c>
      <c r="C8" s="29" t="n">
        <v>0.9</v>
      </c>
      <c r="D8" s="31" t="n">
        <v>1.5</v>
      </c>
      <c r="E8" s="8">
        <f>(D8/C8)^(1/5)-1</f>
        <v>0.1075663432</v>
      </c>
      <c r="F8" s="25" t="inlineStr">
        <is>
          <t>Reported</t>
        </is>
      </c>
      <c r="G8" s="26" t="inlineStr">
        <is>
          <t>S8</t>
        </is>
      </c>
      <c r="H8" s="12" t="inlineStr">
        <is>
          <t>Lumikai video games ex-RMG; Niko Partners estimates $1.04bn</t>
        </is>
      </c>
    </row>
    <row r="9">
      <c r="A9" s="22" t="inlineStr">
        <is>
          <t>India</t>
        </is>
      </c>
      <c r="B9" s="22" t="inlineStr">
        <is>
          <t>Recorded music</t>
        </is>
      </c>
      <c r="C9" s="29" t="n">
        <v>0.15</v>
      </c>
      <c r="D9" s="30" t="n">
        <v>0.3</v>
      </c>
      <c r="E9" s="8">
        <f>(D9/C9)^(1/5)-1</f>
        <v>0.148698355</v>
      </c>
      <c r="F9" s="28" t="inlineStr">
        <is>
          <t>Estimated</t>
        </is>
      </c>
      <c r="G9" s="26" t="inlineStr">
        <is>
          <t>S9</t>
        </is>
      </c>
      <c r="H9" s="12" t="inlineStr">
        <is>
          <t>India not in IFPI top 10; scaled from PwC music+radio $1.0bn</t>
        </is>
      </c>
    </row>
    <row r="10">
      <c r="A10" s="22" t="inlineStr">
        <is>
          <t>India</t>
        </is>
      </c>
      <c r="B10" s="22" t="inlineStr">
        <is>
          <t>Live events</t>
        </is>
      </c>
      <c r="C10" s="29" t="n">
        <v>0.5</v>
      </c>
      <c r="D10" s="31" t="n">
        <v>1.55</v>
      </c>
      <c r="E10" s="8">
        <f>(D10/C10)^(1/5)-1</f>
        <v>0.2539272451</v>
      </c>
      <c r="F10" s="25" t="inlineStr">
        <is>
          <t>Reported</t>
        </is>
      </c>
      <c r="G10" s="26" t="inlineStr">
        <is>
          <t>S5</t>
        </is>
      </c>
      <c r="H10" s="12" t="inlineStr">
        <is>
          <t>EY-FICCI organised live events (+44% in 2025)</t>
        </is>
      </c>
    </row>
    <row r="11">
      <c r="A11" s="22" t="inlineStr">
        <is>
          <t>India</t>
        </is>
      </c>
      <c r="B11" s="22" t="inlineStr">
        <is>
          <t>Theatrical</t>
        </is>
      </c>
      <c r="C11" s="29" t="n">
        <v>0.5</v>
      </c>
      <c r="D11" s="31" t="n">
        <v>1.5</v>
      </c>
      <c r="E11" s="8">
        <f>(D11/C11)^(1/5)-1</f>
        <v>0.2457309396</v>
      </c>
      <c r="F11" s="25" t="inlineStr">
        <is>
          <t>Reported</t>
        </is>
      </c>
      <c r="G11" s="26" t="inlineStr">
        <is>
          <t>S10</t>
        </is>
      </c>
      <c r="H11" s="12" t="inlineStr">
        <is>
          <t>Gower Street/Comscore; ~5% of global box office</t>
        </is>
      </c>
    </row>
    <row r="12">
      <c r="A12" s="22" t="inlineStr">
        <is>
          <t>United States</t>
        </is>
      </c>
      <c r="B12" s="22" t="inlineStr">
        <is>
          <t>TV (linear)</t>
        </is>
      </c>
      <c r="C12" s="29" t="n">
        <v>150</v>
      </c>
      <c r="D12" s="30" t="n">
        <v>135</v>
      </c>
      <c r="E12" s="8">
        <f>(D12/C12)^(1/5)-1</f>
        <v>-0.0208516376</v>
      </c>
      <c r="F12" s="28" t="inlineStr">
        <is>
          <t>Estimated</t>
        </is>
      </c>
      <c r="G12" s="26" t="inlineStr">
        <is>
          <t>S11</t>
        </is>
      </c>
      <c r="H12" s="12" t="inlineStr">
        <is>
          <t>Linear TV ad + pay-TV subscription</t>
        </is>
      </c>
    </row>
    <row r="13">
      <c r="A13" s="22" t="inlineStr">
        <is>
          <t>United States</t>
        </is>
      </c>
      <c r="B13" s="22" t="inlineStr">
        <is>
          <t>OTT video</t>
        </is>
      </c>
      <c r="C13" s="29" t="n">
        <v>60</v>
      </c>
      <c r="D13" s="31" t="n">
        <v>113.3</v>
      </c>
      <c r="E13" s="8">
        <f>(D13/C13)^(1/5)-1</f>
        <v>0.1355747622</v>
      </c>
      <c r="F13" s="25" t="inlineStr">
        <is>
          <t>Reported</t>
        </is>
      </c>
      <c r="G13" s="26" t="inlineStr">
        <is>
          <t>S11</t>
        </is>
      </c>
      <c r="H13" s="12" t="inlineStr">
        <is>
          <t>PwC US: largest streaming market globally</t>
        </is>
      </c>
    </row>
    <row r="14">
      <c r="A14" s="22" t="inlineStr">
        <is>
          <t>United States</t>
        </is>
      </c>
      <c r="B14" s="22" t="inlineStr">
        <is>
          <t>Digital advertising</t>
        </is>
      </c>
      <c r="C14" s="29" t="n">
        <v>190</v>
      </c>
      <c r="D14" s="30" t="n">
        <v>295</v>
      </c>
      <c r="E14" s="8">
        <f>(D14/C14)^(1/5)-1</f>
        <v>0.0919774827</v>
      </c>
      <c r="F14" s="28" t="inlineStr">
        <is>
          <t>Derived</t>
        </is>
      </c>
      <c r="G14" s="26" t="inlineStr">
        <is>
          <t>S11</t>
        </is>
      </c>
      <c r="H14" s="12" t="inlineStr">
        <is>
          <t>PwC US internet advertising; ~$419.7bn by 2030 at 7.3% CAGR</t>
        </is>
      </c>
    </row>
    <row r="15">
      <c r="A15" s="22" t="inlineStr">
        <is>
          <t>United States</t>
        </is>
      </c>
      <c r="B15" s="22" t="inlineStr">
        <is>
          <t>Gaming</t>
        </is>
      </c>
      <c r="C15" s="29" t="n">
        <v>45</v>
      </c>
      <c r="D15" s="31" t="n">
        <v>49.6</v>
      </c>
      <c r="E15" s="8">
        <f>(D15/C15)^(1/5)-1</f>
        <v>0.0196563602</v>
      </c>
      <c r="F15" s="25" t="inlineStr">
        <is>
          <t>Reported</t>
        </is>
      </c>
      <c r="G15" s="26" t="inlineStr">
        <is>
          <t>S6</t>
        </is>
      </c>
      <c r="H15" s="12" t="inlineStr">
        <is>
          <t>Newzoo</t>
        </is>
      </c>
    </row>
    <row r="16">
      <c r="A16" s="22" t="inlineStr">
        <is>
          <t>United States</t>
        </is>
      </c>
      <c r="B16" s="22" t="inlineStr">
        <is>
          <t>Recorded music</t>
        </is>
      </c>
      <c r="C16" s="29" t="n">
        <v>10.5</v>
      </c>
      <c r="D16" s="31" t="n">
        <v>12.3</v>
      </c>
      <c r="E16" s="8">
        <f>(D16/C16)^(1/5)-1</f>
        <v>0.0321508213</v>
      </c>
      <c r="F16" s="25" t="inlineStr">
        <is>
          <t>Reported</t>
        </is>
      </c>
      <c r="G16" s="26" t="inlineStr">
        <is>
          <t>S9</t>
        </is>
      </c>
      <c r="H16" s="12" t="inlineStr">
        <is>
          <t>IFPI: 38.7% share of $31.7bn global; +3.3% YoY</t>
        </is>
      </c>
    </row>
    <row r="17">
      <c r="A17" s="22" t="inlineStr">
        <is>
          <t>United States</t>
        </is>
      </c>
      <c r="B17" s="22" t="inlineStr">
        <is>
          <t>Live events</t>
        </is>
      </c>
      <c r="C17" s="29" t="n">
        <v>5</v>
      </c>
      <c r="D17" s="31" t="n">
        <v>12.6</v>
      </c>
      <c r="E17" s="8">
        <f>(D17/C17)^(1/5)-1</f>
        <v>0.2030401127</v>
      </c>
      <c r="F17" s="25" t="inlineStr">
        <is>
          <t>Reported</t>
        </is>
      </c>
      <c r="G17" s="26" t="inlineStr">
        <is>
          <t>S15</t>
        </is>
      </c>
      <c r="H17" s="12" t="inlineStr">
        <is>
          <t>Pollstar: world's largest live music market</t>
        </is>
      </c>
    </row>
    <row r="18">
      <c r="A18" s="22" t="inlineStr">
        <is>
          <t>United States</t>
        </is>
      </c>
      <c r="B18" s="22" t="inlineStr">
        <is>
          <t>Theatrical</t>
        </is>
      </c>
      <c r="C18" s="29" t="n">
        <v>2.3</v>
      </c>
      <c r="D18" s="31" t="n">
        <v>8.9</v>
      </c>
      <c r="E18" s="8">
        <f>(D18/C18)^(1/5)-1</f>
        <v>0.3107879314</v>
      </c>
      <c r="F18" s="25" t="inlineStr">
        <is>
          <t>Reported</t>
        </is>
      </c>
      <c r="G18" s="26" t="inlineStr">
        <is>
          <t>S10</t>
        </is>
      </c>
      <c r="H18" s="12" t="inlineStr">
        <is>
          <t>Comscore US/Canada; 769.2m tickets; still 22% below 2019</t>
        </is>
      </c>
    </row>
    <row r="19">
      <c r="A19" s="22" t="inlineStr">
        <is>
          <t>United Kingdom</t>
        </is>
      </c>
      <c r="B19" s="22" t="inlineStr">
        <is>
          <t>TV (linear)</t>
        </is>
      </c>
      <c r="C19" s="29" t="n">
        <v>14</v>
      </c>
      <c r="D19" s="30" t="n">
        <v>12</v>
      </c>
      <c r="E19" s="8">
        <f>(D19/C19)^(1/5)-1</f>
        <v>-0.0303597339</v>
      </c>
      <c r="F19" s="28" t="inlineStr">
        <is>
          <t>Estimated</t>
        </is>
      </c>
      <c r="G19" s="26" t="inlineStr">
        <is>
          <t>S1</t>
        </is>
      </c>
      <c r="H19" s="12" t="inlineStr">
        <is>
          <t>Linear broadcast TV revenue</t>
        </is>
      </c>
    </row>
    <row r="20">
      <c r="A20" s="22" t="inlineStr">
        <is>
          <t>United Kingdom</t>
        </is>
      </c>
      <c r="B20" s="22" t="inlineStr">
        <is>
          <t>OTT video</t>
        </is>
      </c>
      <c r="C20" s="29" t="n">
        <v>3</v>
      </c>
      <c r="D20" s="30" t="n">
        <v>7</v>
      </c>
      <c r="E20" s="8">
        <f>(D20/C20)^(1/5)-1</f>
        <v>0.1846644525</v>
      </c>
      <c r="F20" s="28" t="inlineStr">
        <is>
          <t>Estimated</t>
        </is>
      </c>
      <c r="G20" s="26" t="inlineStr">
        <is>
          <t>S11</t>
        </is>
      </c>
      <c r="H20" s="12" t="inlineStr">
        <is>
          <t>Scaled from UK commercial TV+online video &gt;GBP 18bn</t>
        </is>
      </c>
    </row>
    <row r="21">
      <c r="A21" s="22" t="inlineStr">
        <is>
          <t>United Kingdom</t>
        </is>
      </c>
      <c r="B21" s="22" t="inlineStr">
        <is>
          <t>Digital advertising</t>
        </is>
      </c>
      <c r="C21" s="29" t="n">
        <v>18</v>
      </c>
      <c r="D21" s="30" t="n">
        <v>30</v>
      </c>
      <c r="E21" s="8">
        <f>(D21/C21)^(1/5)-1</f>
        <v>0.1075663432</v>
      </c>
      <c r="F21" s="28" t="inlineStr">
        <is>
          <t>Estimated</t>
        </is>
      </c>
      <c r="G21" s="26" t="inlineStr">
        <is>
          <t>S11</t>
        </is>
      </c>
      <c r="H21" s="12" t="inlineStr">
        <is>
          <t>UK is Europe's largest E&amp;M market</t>
        </is>
      </c>
    </row>
    <row r="22">
      <c r="A22" s="22" t="inlineStr">
        <is>
          <t>United Kingdom</t>
        </is>
      </c>
      <c r="B22" s="22" t="inlineStr">
        <is>
          <t>Gaming</t>
        </is>
      </c>
      <c r="C22" s="29" t="n">
        <v>6.3</v>
      </c>
      <c r="D22" s="31" t="n">
        <v>6.8</v>
      </c>
      <c r="E22" s="8">
        <f>(D22/C22)^(1/5)-1</f>
        <v>0.0153918486</v>
      </c>
      <c r="F22" s="25" t="inlineStr">
        <is>
          <t>Reported</t>
        </is>
      </c>
      <c r="G22" s="26" t="inlineStr">
        <is>
          <t>S6</t>
        </is>
      </c>
      <c r="H22" s="12" t="inlineStr">
        <is>
          <t>Newzoo</t>
        </is>
      </c>
    </row>
    <row r="23">
      <c r="A23" s="22" t="inlineStr">
        <is>
          <t>United Kingdom</t>
        </is>
      </c>
      <c r="B23" s="22" t="inlineStr">
        <is>
          <t>Recorded music</t>
        </is>
      </c>
      <c r="C23" s="29" t="n">
        <v>1.5</v>
      </c>
      <c r="D23" s="30" t="n">
        <v>1.9</v>
      </c>
      <c r="E23" s="8">
        <f>(D23/C23)^(1/5)-1</f>
        <v>0.0484131713</v>
      </c>
      <c r="F23" s="28" t="inlineStr">
        <is>
          <t>Estimated</t>
        </is>
      </c>
      <c r="G23" s="26" t="inlineStr">
        <is>
          <t>S9</t>
        </is>
      </c>
      <c r="H23" s="12" t="inlineStr">
        <is>
          <t>IFPI rank 3; value estimated</t>
        </is>
      </c>
    </row>
    <row r="24">
      <c r="A24" s="22" t="inlineStr">
        <is>
          <t>United Kingdom</t>
        </is>
      </c>
      <c r="B24" s="22" t="inlineStr">
        <is>
          <t>Live events</t>
        </is>
      </c>
      <c r="C24" s="29" t="n">
        <v>1</v>
      </c>
      <c r="D24" s="30" t="n">
        <v>2.5</v>
      </c>
      <c r="E24" s="8">
        <f>(D24/C24)^(1/5)-1</f>
        <v>0.201124434</v>
      </c>
      <c r="F24" s="28" t="inlineStr">
        <is>
          <t>Estimated</t>
        </is>
      </c>
      <c r="G24" s="26" t="inlineStr">
        <is>
          <t>S15</t>
        </is>
      </c>
      <c r="H24" s="12" t="inlineStr">
        <is>
          <t>Pollstar / live music estimates</t>
        </is>
      </c>
    </row>
    <row r="25">
      <c r="A25" s="22" t="inlineStr">
        <is>
          <t>United Kingdom</t>
        </is>
      </c>
      <c r="B25" s="22" t="inlineStr">
        <is>
          <t>Theatrical</t>
        </is>
      </c>
      <c r="C25" s="29" t="n">
        <v>0.5</v>
      </c>
      <c r="D25" s="31" t="n">
        <v>1.5</v>
      </c>
      <c r="E25" s="8">
        <f>(D25/C25)^(1/5)-1</f>
        <v>0.2457309396</v>
      </c>
      <c r="F25" s="25" t="inlineStr">
        <is>
          <t>Reported</t>
        </is>
      </c>
      <c r="G25" s="26" t="inlineStr">
        <is>
          <t>S10</t>
        </is>
      </c>
      <c r="H25" s="12" t="inlineStr">
        <is>
          <t>UK &amp; Ireland; Gower Street</t>
        </is>
      </c>
    </row>
    <row r="26">
      <c r="A26" s="22" t="inlineStr">
        <is>
          <t>Japan</t>
        </is>
      </c>
      <c r="B26" s="22" t="inlineStr">
        <is>
          <t>TV (linear)</t>
        </is>
      </c>
      <c r="C26" s="29" t="n">
        <v>26</v>
      </c>
      <c r="D26" s="30" t="n">
        <v>22</v>
      </c>
      <c r="E26" s="8">
        <f>(D26/C26)^(1/5)-1</f>
        <v>-0.03285884</v>
      </c>
      <c r="F26" s="28" t="inlineStr">
        <is>
          <t>Estimated</t>
        </is>
      </c>
      <c r="G26" s="26" t="inlineStr">
        <is>
          <t>S3</t>
        </is>
      </c>
      <c r="H26" s="12" t="inlineStr">
        <is>
          <t>TV ad + NHK licence + pay TV</t>
        </is>
      </c>
    </row>
    <row r="27">
      <c r="A27" s="22" t="inlineStr">
        <is>
          <t>Japan</t>
        </is>
      </c>
      <c r="B27" s="22" t="inlineStr">
        <is>
          <t>OTT video</t>
        </is>
      </c>
      <c r="C27" s="29" t="n">
        <v>2.5</v>
      </c>
      <c r="D27" s="30" t="n">
        <v>6</v>
      </c>
      <c r="E27" s="8">
        <f>(D27/C27)^(1/5)-1</f>
        <v>0.1913578982</v>
      </c>
      <c r="F27" s="28" t="inlineStr">
        <is>
          <t>Estimated</t>
        </is>
      </c>
      <c r="G27" s="26" t="inlineStr">
        <is>
          <t>S11</t>
        </is>
      </c>
      <c r="H27" s="12" t="inlineStr">
        <is>
          <t>PwC Japan OTT</t>
        </is>
      </c>
    </row>
    <row r="28">
      <c r="A28" s="22" t="inlineStr">
        <is>
          <t>Japan</t>
        </is>
      </c>
      <c r="B28" s="22" t="inlineStr">
        <is>
          <t>Digital advertising</t>
        </is>
      </c>
      <c r="C28" s="29" t="n">
        <v>15</v>
      </c>
      <c r="D28" s="30" t="n">
        <v>25</v>
      </c>
      <c r="E28" s="8">
        <f>(D28/C28)^(1/5)-1</f>
        <v>0.1075663432</v>
      </c>
      <c r="F28" s="28" t="inlineStr">
        <is>
          <t>Estimated</t>
        </is>
      </c>
      <c r="G28" s="26" t="inlineStr">
        <is>
          <t>S11</t>
        </is>
      </c>
      <c r="H28" s="12" t="inlineStr">
        <is>
          <t>PwC Japan internet advertising</t>
        </is>
      </c>
    </row>
    <row r="29">
      <c r="A29" s="22" t="inlineStr">
        <is>
          <t>Japan</t>
        </is>
      </c>
      <c r="B29" s="22" t="inlineStr">
        <is>
          <t>Gaming</t>
        </is>
      </c>
      <c r="C29" s="29" t="n">
        <v>16.6</v>
      </c>
      <c r="D29" s="31" t="n">
        <v>17.6</v>
      </c>
      <c r="E29" s="8">
        <f>(D29/C29)^(1/5)-1</f>
        <v>0.0117679451</v>
      </c>
      <c r="F29" s="25" t="inlineStr">
        <is>
          <t>Reported</t>
        </is>
      </c>
      <c r="G29" s="26" t="inlineStr">
        <is>
          <t>S6</t>
        </is>
      </c>
      <c r="H29" s="12" t="inlineStr">
        <is>
          <t>Newzoo; 3rd largest games market, 74.1m players</t>
        </is>
      </c>
    </row>
    <row r="30">
      <c r="A30" s="22" t="inlineStr">
        <is>
          <t>Japan</t>
        </is>
      </c>
      <c r="B30" s="22" t="inlineStr">
        <is>
          <t>Recorded music</t>
        </is>
      </c>
      <c r="C30" s="29" t="n">
        <v>2.8</v>
      </c>
      <c r="D30" s="30" t="n">
        <v>3</v>
      </c>
      <c r="E30" s="8">
        <f>(D30/C30)^(1/5)-1</f>
        <v>0.013894214</v>
      </c>
      <c r="F30" s="28" t="inlineStr">
        <is>
          <t>Estimated</t>
        </is>
      </c>
      <c r="G30" s="26" t="inlineStr">
        <is>
          <t>S9</t>
        </is>
      </c>
      <c r="H30" s="12" t="inlineStr">
        <is>
          <t>IFPI rank 2; +8.9% YoY in 2025; ~60% physical</t>
        </is>
      </c>
    </row>
    <row r="31">
      <c r="A31" s="22" t="inlineStr">
        <is>
          <t>Japan</t>
        </is>
      </c>
      <c r="B31" s="22" t="inlineStr">
        <is>
          <t>Live events</t>
        </is>
      </c>
      <c r="C31" s="29" t="n">
        <v>0.9</v>
      </c>
      <c r="D31" s="30" t="n">
        <v>1.5</v>
      </c>
      <c r="E31" s="8">
        <f>(D31/C31)^(1/5)-1</f>
        <v>0.1075663432</v>
      </c>
      <c r="F31" s="28" t="inlineStr">
        <is>
          <t>Estimated</t>
        </is>
      </c>
      <c r="G31" s="26" t="inlineStr">
        <is>
          <t>S15</t>
        </is>
      </c>
      <c r="H31" s="12" t="inlineStr">
        <is>
          <t>Live music estimates</t>
        </is>
      </c>
    </row>
    <row r="32">
      <c r="A32" s="22" t="inlineStr">
        <is>
          <t>Japan</t>
        </is>
      </c>
      <c r="B32" s="22" t="inlineStr">
        <is>
          <t>Theatrical</t>
        </is>
      </c>
      <c r="C32" s="29" t="n">
        <v>1.4</v>
      </c>
      <c r="D32" s="31" t="n">
        <v>1.8</v>
      </c>
      <c r="E32" s="8">
        <f>(D32/C32)^(1/5)-1</f>
        <v>0.0515474968</v>
      </c>
      <c r="F32" s="25" t="inlineStr">
        <is>
          <t>Reported</t>
        </is>
      </c>
      <c r="G32" s="26" t="inlineStr">
        <is>
          <t>S10</t>
        </is>
      </c>
      <c r="H32" s="12" t="inlineStr">
        <is>
          <t>Record year, +32%; 188.76m admissions</t>
        </is>
      </c>
    </row>
    <row r="33">
      <c r="A33" s="22" t="inlineStr">
        <is>
          <t>South Korea</t>
        </is>
      </c>
      <c r="B33" s="22" t="inlineStr">
        <is>
          <t>TV (linear)</t>
        </is>
      </c>
      <c r="C33" s="29" t="n">
        <v>7</v>
      </c>
      <c r="D33" s="30" t="n">
        <v>6</v>
      </c>
      <c r="E33" s="8">
        <f>(D33/C33)^(1/5)-1</f>
        <v>-0.0303597339</v>
      </c>
      <c r="F33" s="28" t="inlineStr">
        <is>
          <t>Estimated</t>
        </is>
      </c>
      <c r="G33" s="26" t="inlineStr">
        <is>
          <t>S3</t>
        </is>
      </c>
      <c r="H33" s="12" t="inlineStr">
        <is>
          <t>TV ad + pay TV</t>
        </is>
      </c>
    </row>
    <row r="34">
      <c r="A34" s="22" t="inlineStr">
        <is>
          <t>South Korea</t>
        </is>
      </c>
      <c r="B34" s="22" t="inlineStr">
        <is>
          <t>OTT video</t>
        </is>
      </c>
      <c r="C34" s="29" t="n">
        <v>1</v>
      </c>
      <c r="D34" s="30" t="n">
        <v>2.5</v>
      </c>
      <c r="E34" s="8">
        <f>(D34/C34)^(1/5)-1</f>
        <v>0.201124434</v>
      </c>
      <c r="F34" s="28" t="inlineStr">
        <is>
          <t>Estimated</t>
        </is>
      </c>
      <c r="G34" s="26" t="inlineStr">
        <is>
          <t>S11</t>
        </is>
      </c>
      <c r="H34" s="12" t="inlineStr">
        <is>
          <t>PwC Korea OTT</t>
        </is>
      </c>
    </row>
    <row r="35">
      <c r="A35" s="22" t="inlineStr">
        <is>
          <t>South Korea</t>
        </is>
      </c>
      <c r="B35" s="22" t="inlineStr">
        <is>
          <t>Digital advertising</t>
        </is>
      </c>
      <c r="C35" s="29" t="n">
        <v>5</v>
      </c>
      <c r="D35" s="30" t="n">
        <v>8</v>
      </c>
      <c r="E35" s="8">
        <f>(D35/C35)^(1/5)-1</f>
        <v>0.0985605433</v>
      </c>
      <c r="F35" s="28" t="inlineStr">
        <is>
          <t>Estimated</t>
        </is>
      </c>
      <c r="G35" s="26" t="inlineStr">
        <is>
          <t>S11</t>
        </is>
      </c>
      <c r="H35" s="12" t="inlineStr">
        <is>
          <t>PwC Korea internet advertising</t>
        </is>
      </c>
    </row>
    <row r="36">
      <c r="A36" s="22" t="inlineStr">
        <is>
          <t>South Korea</t>
        </is>
      </c>
      <c r="B36" s="22" t="inlineStr">
        <is>
          <t>Gaming</t>
        </is>
      </c>
      <c r="C36" s="29" t="n">
        <v>7.1</v>
      </c>
      <c r="D36" s="31" t="n">
        <v>8.300000000000001</v>
      </c>
      <c r="E36" s="8">
        <f>(D36/C36)^(1/5)-1</f>
        <v>0.0317249871</v>
      </c>
      <c r="F36" s="25" t="inlineStr">
        <is>
          <t>Reported</t>
        </is>
      </c>
      <c r="G36" s="26" t="inlineStr">
        <is>
          <t>S6</t>
        </is>
      </c>
      <c r="H36" s="12" t="inlineStr">
        <is>
          <t>Newzoo; 34m players</t>
        </is>
      </c>
    </row>
    <row r="37">
      <c r="A37" s="22" t="inlineStr">
        <is>
          <t>South Korea</t>
        </is>
      </c>
      <c r="B37" s="22" t="inlineStr">
        <is>
          <t>Recorded music</t>
        </is>
      </c>
      <c r="C37" s="29" t="n">
        <v>1</v>
      </c>
      <c r="D37" s="30" t="n">
        <v>0.9</v>
      </c>
      <c r="E37" s="8">
        <f>(D37/C37)^(1/5)-1</f>
        <v>-0.0208516376</v>
      </c>
      <c r="F37" s="28" t="inlineStr">
        <is>
          <t>Estimated</t>
        </is>
      </c>
      <c r="G37" s="26" t="inlineStr">
        <is>
          <t>S9</t>
        </is>
      </c>
      <c r="H37" s="12" t="inlineStr">
        <is>
          <t>IFPI rank 7</t>
        </is>
      </c>
    </row>
    <row r="38">
      <c r="A38" s="22" t="inlineStr">
        <is>
          <t>South Korea</t>
        </is>
      </c>
      <c r="B38" s="22" t="inlineStr">
        <is>
          <t>Live events</t>
        </is>
      </c>
      <c r="C38" s="29" t="n">
        <v>0.3</v>
      </c>
      <c r="D38" s="30" t="n">
        <v>0.6</v>
      </c>
      <c r="E38" s="8">
        <f>(D38/C38)^(1/5)-1</f>
        <v>0.148698355</v>
      </c>
      <c r="F38" s="28" t="inlineStr">
        <is>
          <t>Estimated</t>
        </is>
      </c>
      <c r="G38" s="26" t="inlineStr">
        <is>
          <t>S15</t>
        </is>
      </c>
      <c r="H38" s="12" t="inlineStr">
        <is>
          <t>Live music estimates</t>
        </is>
      </c>
    </row>
    <row r="39">
      <c r="A39" s="22" t="inlineStr">
        <is>
          <t>South Korea</t>
        </is>
      </c>
      <c r="B39" s="22" t="inlineStr">
        <is>
          <t>Theatrical</t>
        </is>
      </c>
      <c r="C39" s="29" t="n">
        <v>0.4</v>
      </c>
      <c r="D39" s="31" t="n">
        <v>0.7</v>
      </c>
      <c r="E39" s="8">
        <f>(D39/C39)^(1/5)-1</f>
        <v>0.1184269147</v>
      </c>
      <c r="F39" s="25" t="inlineStr">
        <is>
          <t>Reported</t>
        </is>
      </c>
      <c r="G39" s="26" t="inlineStr">
        <is>
          <t>S10</t>
        </is>
      </c>
      <c r="H39" s="12" t="inlineStr">
        <is>
          <t>Gower Street</t>
        </is>
      </c>
    </row>
    <row r="40">
      <c r="A40" s="22" t="inlineStr">
        <is>
          <t>Brazil</t>
        </is>
      </c>
      <c r="B40" s="22" t="inlineStr">
        <is>
          <t>TV (linear)</t>
        </is>
      </c>
      <c r="C40" s="29" t="n">
        <v>9.5</v>
      </c>
      <c r="D40" s="30" t="n">
        <v>9</v>
      </c>
      <c r="E40" s="8">
        <f>(D40/C40)^(1/5)-1</f>
        <v>-0.0107551891</v>
      </c>
      <c r="F40" s="28" t="inlineStr">
        <is>
          <t>Estimated</t>
        </is>
      </c>
      <c r="G40" s="26" t="inlineStr">
        <is>
          <t>S19</t>
        </is>
      </c>
      <c r="H40" s="12" t="inlineStr">
        <is>
          <t>TV ad + pay TV</t>
        </is>
      </c>
    </row>
    <row r="41">
      <c r="A41" s="22" t="inlineStr">
        <is>
          <t>Brazil</t>
        </is>
      </c>
      <c r="B41" s="22" t="inlineStr">
        <is>
          <t>OTT video</t>
        </is>
      </c>
      <c r="C41" s="29" t="n">
        <v>1.2</v>
      </c>
      <c r="D41" s="30" t="n">
        <v>3.5</v>
      </c>
      <c r="E41" s="8">
        <f>(D41/C41)^(1/5)-1</f>
        <v>0.2387320081</v>
      </c>
      <c r="F41" s="28" t="inlineStr">
        <is>
          <t>Estimated</t>
        </is>
      </c>
      <c r="G41" s="26" t="inlineStr">
        <is>
          <t>S11</t>
        </is>
      </c>
      <c r="H41" s="12" t="inlineStr">
        <is>
          <t>PwC Brazil OTT</t>
        </is>
      </c>
    </row>
    <row r="42">
      <c r="A42" s="22" t="inlineStr">
        <is>
          <t>Brazil</t>
        </is>
      </c>
      <c r="B42" s="22" t="inlineStr">
        <is>
          <t>Digital advertising</t>
        </is>
      </c>
      <c r="C42" s="29" t="n">
        <v>4.5</v>
      </c>
      <c r="D42" s="30" t="n">
        <v>8</v>
      </c>
      <c r="E42" s="8">
        <f>(D42/C42)^(1/5)-1</f>
        <v>0.1219551454</v>
      </c>
      <c r="F42" s="28" t="inlineStr">
        <is>
          <t>Estimated</t>
        </is>
      </c>
      <c r="G42" s="26" t="inlineStr">
        <is>
          <t>S11</t>
        </is>
      </c>
      <c r="H42" s="12" t="inlineStr">
        <is>
          <t>PwC Brazil internet advertising</t>
        </is>
      </c>
    </row>
    <row r="43">
      <c r="A43" s="22" t="inlineStr">
        <is>
          <t>Brazil</t>
        </is>
      </c>
      <c r="B43" s="22" t="inlineStr">
        <is>
          <t>Gaming</t>
        </is>
      </c>
      <c r="C43" s="29" t="n">
        <v>2.4</v>
      </c>
      <c r="D43" s="31" t="n">
        <v>2.8</v>
      </c>
      <c r="E43" s="8">
        <f>(D43/C43)^(1/5)-1</f>
        <v>0.0313103065</v>
      </c>
      <c r="F43" s="25" t="inlineStr">
        <is>
          <t>Reported</t>
        </is>
      </c>
      <c r="G43" s="26" t="inlineStr">
        <is>
          <t>S6</t>
        </is>
      </c>
      <c r="H43" s="12" t="inlineStr">
        <is>
          <t>Newzoo; 123.3m players</t>
        </is>
      </c>
    </row>
    <row r="44">
      <c r="A44" s="22" t="inlineStr">
        <is>
          <t>Brazil</t>
        </is>
      </c>
      <c r="B44" s="22" t="inlineStr">
        <is>
          <t>Recorded music</t>
        </is>
      </c>
      <c r="C44" s="29" t="n">
        <v>0.35</v>
      </c>
      <c r="D44" s="30" t="n">
        <v>0.55</v>
      </c>
      <c r="E44" s="8">
        <f>(D44/C44)^(1/5)-1</f>
        <v>0.0946087842</v>
      </c>
      <c r="F44" s="28" t="inlineStr">
        <is>
          <t>Estimated</t>
        </is>
      </c>
      <c r="G44" s="26" t="inlineStr">
        <is>
          <t>S9</t>
        </is>
      </c>
      <c r="H44" s="12" t="inlineStr">
        <is>
          <t>IFPI rank 9; +14.1% YoY in 2025</t>
        </is>
      </c>
    </row>
    <row r="45">
      <c r="A45" s="22" t="inlineStr">
        <is>
          <t>Brazil</t>
        </is>
      </c>
      <c r="B45" s="22" t="inlineStr">
        <is>
          <t>Live events</t>
        </is>
      </c>
      <c r="C45" s="29" t="n">
        <v>0.3</v>
      </c>
      <c r="D45" s="30" t="n">
        <v>0.8</v>
      </c>
      <c r="E45" s="8">
        <f>(D45/C45)^(1/5)-1</f>
        <v>0.2167286838</v>
      </c>
      <c r="F45" s="28" t="inlineStr">
        <is>
          <t>Estimated</t>
        </is>
      </c>
      <c r="G45" s="26" t="inlineStr">
        <is>
          <t>S15</t>
        </is>
      </c>
      <c r="H45" s="12" t="inlineStr">
        <is>
          <t>Live music estimates</t>
        </is>
      </c>
    </row>
    <row r="46">
      <c r="A46" s="22" t="inlineStr">
        <is>
          <t>Brazil</t>
        </is>
      </c>
      <c r="B46" s="22" t="inlineStr">
        <is>
          <t>Theatrical</t>
        </is>
      </c>
      <c r="C46" s="29" t="n">
        <v>0.2</v>
      </c>
      <c r="D46" s="30" t="n">
        <v>0.4</v>
      </c>
      <c r="E46" s="8">
        <f>(D46/C46)^(1/5)-1</f>
        <v>0.148698355</v>
      </c>
      <c r="F46" s="28" t="inlineStr">
        <is>
          <t>Estimated</t>
        </is>
      </c>
      <c r="G46" s="26" t="inlineStr">
        <is>
          <t>S10</t>
        </is>
      </c>
      <c r="H46" s="12" t="inlineStr">
        <is>
          <t>Not in global top 10 territories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20" customWidth="1" min="2" max="2"/>
    <col width="13" customWidth="1" min="3" max="3"/>
    <col width="14" customWidth="1" min="4" max="4"/>
    <col width="34" customWidth="1" min="5" max="5"/>
    <col width="40" customWidth="1" min="6" max="6"/>
  </cols>
  <sheetData>
    <row r="1">
      <c r="A1" s="1" t="inlineStr">
        <is>
          <t>OFFLINE &amp; PHYSICAL ENTERTAINMENT, the formats you have to leave the house for</t>
        </is>
      </c>
    </row>
    <row r="2">
      <c r="A2" s="2" t="inlineStr">
        <is>
          <t>Out-of-home formats are where time AND money are both still growing. They are also where per-capita gaps are widest.</t>
        </is>
      </c>
    </row>
    <row r="3"/>
    <row r="4" ht="30" customHeight="1">
      <c r="A4" s="5" t="inlineStr">
        <is>
          <t>Country</t>
        </is>
      </c>
      <c r="B4" s="5" t="inlineStr">
        <is>
          <t>Cinema admissions per capita (per year)</t>
        </is>
      </c>
      <c r="C4" s="5" t="inlineStr">
        <is>
          <t>Data quality</t>
        </is>
      </c>
      <c r="D4" s="5" t="inlineStr">
        <is>
          <t>Source</t>
        </is>
      </c>
      <c r="E4" s="5" t="inlineStr">
        <is>
          <t>Live events spend per capita (USD/yr, est.)</t>
        </is>
      </c>
      <c r="F4" s="5" t="inlineStr">
        <is>
          <t>Note</t>
        </is>
      </c>
    </row>
    <row r="5" ht="26" customHeight="1">
      <c r="A5" s="22" t="inlineStr">
        <is>
          <t>India</t>
        </is>
      </c>
      <c r="B5" s="30" t="n">
        <v>0.7</v>
      </c>
      <c r="C5" s="28" t="inlineStr">
        <is>
          <t>Estimated</t>
        </is>
      </c>
      <c r="D5" s="26" t="inlineStr">
        <is>
          <t>S10</t>
        </is>
      </c>
      <c r="E5" s="32" t="n">
        <v>0.3448275862068966</v>
      </c>
      <c r="F5" s="12" t="inlineStr">
        <is>
          <t>~1.0bn admissions est. / EY-FICCI live events $1.55bn</t>
        </is>
      </c>
    </row>
    <row r="6" ht="26" customHeight="1">
      <c r="A6" s="22" t="inlineStr">
        <is>
          <t>United States</t>
        </is>
      </c>
      <c r="B6" s="31" t="n">
        <v>2.25</v>
      </c>
      <c r="C6" s="25" t="inlineStr">
        <is>
          <t>Reported</t>
        </is>
      </c>
      <c r="D6" s="26" t="inlineStr">
        <is>
          <t>S10</t>
        </is>
      </c>
      <c r="E6" s="32" t="n">
        <v>14.61988304093567</v>
      </c>
      <c r="F6" s="12" t="inlineStr">
        <is>
          <t>769.2m tickets / 342m population; Pollstar live $12.6bn</t>
        </is>
      </c>
    </row>
    <row r="7" ht="26" customHeight="1">
      <c r="A7" s="22" t="inlineStr">
        <is>
          <t>United Kingdom</t>
        </is>
      </c>
      <c r="B7" s="30" t="n">
        <v>1.74</v>
      </c>
      <c r="C7" s="28" t="inlineStr">
        <is>
          <t>Estimated</t>
        </is>
      </c>
      <c r="D7" s="26" t="inlineStr">
        <is>
          <t>S10</t>
        </is>
      </c>
      <c r="E7" s="32" t="n">
        <v>14.49275362318841</v>
      </c>
      <c r="F7" s="12" t="inlineStr">
        <is>
          <t>~120m admissions; live music ~$2.5bn</t>
        </is>
      </c>
    </row>
    <row r="8" ht="26" customHeight="1">
      <c r="A8" s="22" t="inlineStr">
        <is>
          <t>Japan</t>
        </is>
      </c>
      <c r="B8" s="31" t="n">
        <v>1.53</v>
      </c>
      <c r="C8" s="25" t="inlineStr">
        <is>
          <t>Reported</t>
        </is>
      </c>
      <c r="D8" s="26" t="inlineStr">
        <is>
          <t>S10</t>
        </is>
      </c>
      <c r="E8" s="32" t="n">
        <v>7.317073170731708</v>
      </c>
      <c r="F8" s="12" t="inlineStr">
        <is>
          <t>188.76m admissions (record year)</t>
        </is>
      </c>
    </row>
    <row r="9" ht="26" customHeight="1">
      <c r="A9" s="22" t="inlineStr">
        <is>
          <t>South Korea</t>
        </is>
      </c>
      <c r="B9" s="30" t="n">
        <v>2.1</v>
      </c>
      <c r="C9" s="28" t="inlineStr">
        <is>
          <t>Estimated</t>
        </is>
      </c>
      <c r="D9" s="26" t="inlineStr">
        <is>
          <t>S10</t>
        </is>
      </c>
      <c r="E9" s="32" t="n">
        <v>5.769230769230769</v>
      </c>
      <c r="F9" s="12" t="inlineStr">
        <is>
          <t>~110m admissions</t>
        </is>
      </c>
    </row>
    <row r="10" ht="26" customHeight="1">
      <c r="A10" s="22" t="inlineStr">
        <is>
          <t>Brazil</t>
        </is>
      </c>
      <c r="B10" s="30" t="n">
        <v>0.57</v>
      </c>
      <c r="C10" s="28" t="inlineStr">
        <is>
          <t>Estimated</t>
        </is>
      </c>
      <c r="D10" s="26" t="inlineStr">
        <is>
          <t>S10</t>
        </is>
      </c>
      <c r="E10" s="32" t="n">
        <v>1.415094339622641</v>
      </c>
      <c r="F10" s="12" t="inlineStr">
        <is>
          <t>~120m admissions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8" customWidth="1" min="1" max="1"/>
    <col width="16" customWidth="1" min="2" max="2"/>
    <col width="13" customWidth="1" min="3" max="3"/>
    <col width="18" customWidth="1" min="4" max="4"/>
    <col width="14" customWidth="1" min="5" max="5"/>
    <col width="16" customWidth="1" min="6" max="6"/>
    <col width="14" customWidth="1" min="7" max="7"/>
    <col width="40" customWidth="1" min="8" max="8"/>
  </cols>
  <sheetData>
    <row r="1">
      <c r="A1" s="1" t="inlineStr">
        <is>
          <t>STREAMING PENETRATION, who actually pays, and how much each payer is worth</t>
        </is>
      </c>
    </row>
    <row r="2"/>
    <row r="3"/>
    <row r="4" ht="30" customHeight="1">
      <c r="A4" s="5" t="inlineStr">
        <is>
          <t>Country</t>
        </is>
      </c>
      <c r="B4" s="5" t="inlineStr">
        <is>
          <t>Netflix subscribers (m)</t>
        </is>
      </c>
      <c r="C4" s="5" t="inlineStr">
        <is>
          <t>Data quality</t>
        </is>
      </c>
      <c r="D4" s="5" t="inlineStr">
        <is>
          <t>Paid OTT subscriptions (m)</t>
        </is>
      </c>
      <c r="E4" s="5" t="inlineStr">
        <is>
          <t>Paid subs per 100 people</t>
        </is>
      </c>
      <c r="F4" s="5" t="inlineStr">
        <is>
          <t>Netflix penetration of population</t>
        </is>
      </c>
      <c r="G4" s="5" t="inlineStr">
        <is>
          <t>Source</t>
        </is>
      </c>
      <c r="H4" s="5" t="inlineStr">
        <is>
          <t>Note</t>
        </is>
      </c>
    </row>
    <row r="5">
      <c r="A5" s="22" t="inlineStr">
        <is>
          <t>India</t>
        </is>
      </c>
      <c r="B5" s="13" t="n">
        <v>13.3</v>
      </c>
      <c r="C5" s="28" t="inlineStr">
        <is>
          <t>Estimated</t>
        </is>
      </c>
      <c r="D5" s="33" t="n">
        <v>216.5</v>
      </c>
      <c r="E5" s="34">
        <f>D5/A5*100</f>
        <v/>
      </c>
      <c r="F5" s="8">
        <f>B5/1450*100</f>
        <v/>
      </c>
      <c r="G5" s="26" t="inlineStr">
        <is>
          <t>S4 / S12</t>
        </is>
      </c>
      <c r="H5" s="35" t="inlineStr"/>
    </row>
    <row r="6">
      <c r="A6" s="22" t="inlineStr">
        <is>
          <t>United States</t>
        </is>
      </c>
      <c r="B6" s="13" t="n">
        <v>87.8</v>
      </c>
      <c r="C6" s="28" t="inlineStr">
        <is>
          <t>Estimated</t>
        </is>
      </c>
      <c r="D6" s="33" t="n">
        <v>245</v>
      </c>
      <c r="E6" s="34">
        <f>D6/A6*100</f>
        <v/>
      </c>
      <c r="F6" s="8">
        <f>B6/342*100</f>
        <v/>
      </c>
      <c r="G6" s="26" t="inlineStr">
        <is>
          <t>S4 / S11</t>
        </is>
      </c>
      <c r="H6" s="35" t="inlineStr"/>
    </row>
    <row r="7">
      <c r="A7" s="22" t="inlineStr">
        <is>
          <t>United Kingdom</t>
        </is>
      </c>
      <c r="B7" s="13" t="n">
        <v>19.8</v>
      </c>
      <c r="C7" s="28" t="inlineStr">
        <is>
          <t>Estimated</t>
        </is>
      </c>
      <c r="D7" s="33" t="n">
        <v>45</v>
      </c>
      <c r="E7" s="34">
        <f>D7/A7*100</f>
        <v/>
      </c>
      <c r="F7" s="8">
        <f>B7/69*100</f>
        <v/>
      </c>
      <c r="G7" s="26" t="inlineStr">
        <is>
          <t>S4 / S11</t>
        </is>
      </c>
      <c r="H7" s="35" t="inlineStr"/>
    </row>
    <row r="8">
      <c r="A8" s="22" t="inlineStr">
        <is>
          <t>Japan</t>
        </is>
      </c>
      <c r="B8" s="13" t="n">
        <v>9.800000000000001</v>
      </c>
      <c r="C8" s="28" t="inlineStr">
        <is>
          <t>Estimated</t>
        </is>
      </c>
      <c r="D8" s="33" t="n">
        <v>32</v>
      </c>
      <c r="E8" s="34">
        <f>D8/A8*100</f>
        <v/>
      </c>
      <c r="F8" s="8">
        <f>B8/123*100</f>
        <v/>
      </c>
      <c r="G8" s="26" t="inlineStr">
        <is>
          <t>S4 / S11</t>
        </is>
      </c>
      <c r="H8" s="35" t="inlineStr"/>
    </row>
    <row r="9">
      <c r="A9" s="22" t="inlineStr">
        <is>
          <t>South Korea</t>
        </is>
      </c>
      <c r="B9" s="13" t="n">
        <v>9</v>
      </c>
      <c r="C9" s="28" t="inlineStr">
        <is>
          <t>Estimated</t>
        </is>
      </c>
      <c r="D9" s="33" t="n">
        <v>18</v>
      </c>
      <c r="E9" s="34">
        <f>D9/A9*100</f>
        <v/>
      </c>
      <c r="F9" s="8">
        <f>B9/52*100</f>
        <v/>
      </c>
      <c r="G9" s="26" t="inlineStr">
        <is>
          <t>S4 / S11</t>
        </is>
      </c>
      <c r="H9" s="35" t="inlineStr"/>
    </row>
    <row r="10">
      <c r="A10" s="22" t="inlineStr">
        <is>
          <t>Brazil</t>
        </is>
      </c>
      <c r="B10" s="13" t="n">
        <v>17.9</v>
      </c>
      <c r="C10" s="28" t="inlineStr">
        <is>
          <t>Estimated</t>
        </is>
      </c>
      <c r="D10" s="33" t="n">
        <v>42</v>
      </c>
      <c r="E10" s="34">
        <f>D10/A10*100</f>
        <v/>
      </c>
      <c r="F10" s="8">
        <f>B10/212*100</f>
        <v/>
      </c>
      <c r="G10" s="26" t="inlineStr">
        <is>
          <t>S4 / S11</t>
        </is>
      </c>
      <c r="H10" s="35" t="inlineStr"/>
    </row>
    <row r="11"/>
    <row r="12">
      <c r="A12" s="15" t="inlineStr">
        <is>
          <t>India vs US, the number that matters</t>
        </is>
      </c>
      <c r="B12" s="16" t="inlineStr">
        <is>
          <t>India has 216.5m paid OTT subscriptions, the third-largest base in the world, and each subscription is worth only $7.3 a year to the platform. The US OTT market is 51x larger in revenue on a base only ~13% bigger.</t>
        </is>
      </c>
      <c r="C12" s="17" t="n"/>
      <c r="D12" s="17" t="n"/>
      <c r="E12" s="17" t="n"/>
      <c r="F12" s="17" t="n"/>
      <c r="G12" s="17" t="n"/>
      <c r="H12" s="18" t="n"/>
    </row>
    <row r="13">
      <c r="B13" s="19" t="n"/>
      <c r="C13" s="20" t="n"/>
      <c r="D13" s="20" t="n"/>
      <c r="E13" s="20" t="n"/>
      <c r="F13" s="20" t="n"/>
      <c r="G13" s="20" t="n"/>
      <c r="H13" s="21" t="n"/>
    </row>
  </sheetData>
  <mergeCells count="1">
    <mergeCell ref="B12:H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4" customWidth="1" min="6" max="6"/>
    <col width="13" customWidth="1" min="7" max="7"/>
    <col width="40" customWidth="1" min="8" max="8"/>
  </cols>
  <sheetData>
    <row r="1">
      <c r="A1" s="1" t="inlineStr">
        <is>
          <t>MONETISATION INDEX, USD of screen revenue per 1,000 hours of attention</t>
        </is>
      </c>
    </row>
    <row r="2">
      <c r="A2" s="2" t="inlineStr">
        <is>
          <t>The one comparable number in this workbook: how much money the industry earns for each hour a population spends consuming media. It strips out population, currency and market size.</t>
        </is>
      </c>
    </row>
    <row r="3"/>
    <row r="4" ht="30" customHeight="1">
      <c r="A4" s="5" t="inlineStr">
        <is>
          <t>Country</t>
        </is>
      </c>
      <c r="B4" s="5" t="inlineStr">
        <is>
          <t>Screen economy (USD bn)</t>
        </is>
      </c>
      <c r="C4" s="5" t="inlineStr">
        <is>
          <t>Screen economy per capita (USD)</t>
        </is>
      </c>
      <c r="D4" s="5" t="inlineStr">
        <is>
          <t>Attention: 5-format sum (hrs/yr)</t>
        </is>
      </c>
      <c r="E4" s="5" t="inlineStr">
        <is>
          <t>USD per 1,000 hours (5-format)</t>
        </is>
      </c>
      <c r="F4" s="5" t="inlineStr">
        <is>
          <t>Attention: all-media measure (hrs/yr)</t>
        </is>
      </c>
      <c r="G4" s="5" t="inlineStr">
        <is>
          <t>USD per 1,000 hours (all-media)</t>
        </is>
      </c>
      <c r="H4" s="5" t="inlineStr">
        <is>
          <t>Index (US = 100)</t>
        </is>
      </c>
      <c r="I4" s="5" t="inlineStr">
        <is>
          <t>Rank</t>
        </is>
      </c>
      <c r="J4" s="5" t="inlineStr">
        <is>
          <t>Interpretation</t>
        </is>
      </c>
    </row>
    <row r="5" ht="32" customHeight="1">
      <c r="A5" s="6" t="inlineStr">
        <is>
          <t>India</t>
        </is>
      </c>
      <c r="B5" s="9" t="n">
        <v>12.4</v>
      </c>
      <c r="C5" s="34">
        <f>B5*1000/1450</f>
        <v>8.5517241379</v>
      </c>
      <c r="D5" s="7">
        <f>SUMIFS('2 Time database'!$D$5:$D$34,'2 Time database'!$A$5:$A$34,$A5)*365/60</f>
        <v>2402.9166666667</v>
      </c>
      <c r="E5" s="36">
        <f>C5/(D5/1000)</f>
        <v>3.5588933468</v>
      </c>
      <c r="F5" s="7">
        <f>480*365/60</f>
        <v>2920.0</v>
      </c>
      <c r="G5" s="29">
        <f>C5/(F5/1000)</f>
        <v>2.92867265</v>
      </c>
      <c r="H5" s="34">
        <f>E5/$E$6*100</f>
        <v>1.1604080973</v>
      </c>
      <c r="I5" s="37">
        <f>RANK(E5,$E$5:$E$10)</f>
        <v>6.0</v>
      </c>
      <c r="J5" s="12" t="inlineStr">
        <is>
          <t>World-scale attention, startup-scale revenue. Every 1,000 hours of Indian attention earns the industry about USD 4.</t>
        </is>
      </c>
    </row>
    <row r="6" ht="32" customHeight="1">
      <c r="A6" s="6" t="inlineStr">
        <is>
          <t>United States</t>
        </is>
      </c>
      <c r="B6" s="9" t="n">
        <v>305</v>
      </c>
      <c r="C6" s="34">
        <f>B6*1000/342</f>
        <v>891.8128654971</v>
      </c>
      <c r="D6" s="7">
        <f>SUMIFS('2 Time database'!$D$5:$D$34,'2 Time database'!$A$5:$A$34,$A6)*365/60</f>
        <v>2907.8333333333</v>
      </c>
      <c r="E6" s="36">
        <f>C6/(D6/1000)</f>
        <v>306.6932534523</v>
      </c>
      <c r="F6" s="7">
        <f>660*365/60</f>
        <v>4015.0</v>
      </c>
      <c r="G6" s="29">
        <f>C6/(F6/1000)</f>
        <v>222.1202653791</v>
      </c>
      <c r="H6" s="34">
        <f>E6/$E$6*100</f>
        <v>100.0</v>
      </c>
      <c r="I6" s="37">
        <f>RANK(E6,$E$5:$E$10)</f>
        <v>1.0</v>
      </c>
      <c r="J6" s="12" t="inlineStr">
        <is>
          <t>The benchmark. An American hour of attention is worth roughly 86x an Indian hour.</t>
        </is>
      </c>
    </row>
    <row r="7" ht="32" customHeight="1">
      <c r="A7" s="6" t="inlineStr">
        <is>
          <t>United Kingdom</t>
        </is>
      </c>
      <c r="B7" s="13" t="n">
        <v>28</v>
      </c>
      <c r="C7" s="34">
        <f>B7*1000/69</f>
        <v>405.7971014493</v>
      </c>
      <c r="D7" s="7">
        <f>SUMIFS('2 Time database'!$D$5:$D$34,'2 Time database'!$A$5:$A$34,$A7)*365/60</f>
        <v>2859.1666666667</v>
      </c>
      <c r="E7" s="36">
        <f>C7/(D7/1000)</f>
        <v>141.9284528531</v>
      </c>
      <c r="F7" s="7">
        <f>660*365/60</f>
        <v>4015.0</v>
      </c>
      <c r="G7" s="29">
        <f>C7/(F7/1000)</f>
        <v>101.0702618803</v>
      </c>
      <c r="H7" s="34">
        <f>E7/$E$6*100</f>
        <v>46.2770052016</v>
      </c>
      <c r="I7" s="37">
        <f>RANK(E7,$E$5:$E$10)</f>
        <v>2.0</v>
      </c>
      <c r="J7" s="12" t="inlineStr">
        <is>
          <t>High monetisation on a shrinking habit: total in-home video time fell in 2025.</t>
        </is>
      </c>
    </row>
    <row r="8" ht="32" customHeight="1">
      <c r="A8" s="6" t="inlineStr">
        <is>
          <t>Japan</t>
        </is>
      </c>
      <c r="B8" s="9" t="n">
        <v>34</v>
      </c>
      <c r="C8" s="34">
        <f>B8*1000/123</f>
        <v>276.4227642276</v>
      </c>
      <c r="D8" s="7">
        <f>SUMIFS('2 Time database'!$D$5:$D$34,'2 Time database'!$A$5:$A$34,$A8)*365/60</f>
        <v>2536.75</v>
      </c>
      <c r="E8" s="36">
        <f>C8/(D8/1000)</f>
        <v>108.9672865784</v>
      </c>
      <c r="F8" s="7">
        <f>780*365/60</f>
        <v>4745.0</v>
      </c>
      <c r="G8" s="29">
        <f>C8/(F8/1000)</f>
        <v>58.2555878246</v>
      </c>
      <c r="H8" s="34">
        <f>E8/$E$6*100</f>
        <v>35.5297305538</v>
      </c>
      <c r="I8" s="37">
        <f>RANK(E8,$E$5:$E$10)</f>
        <v>3.0</v>
      </c>
      <c r="J8" s="12" t="inlineStr">
        <is>
          <t>Most media time of the six, mid-tier monetisation, an old, rich, patient market.</t>
        </is>
      </c>
    </row>
    <row r="9" ht="32" customHeight="1">
      <c r="A9" s="6" t="inlineStr">
        <is>
          <t>South Korea</t>
        </is>
      </c>
      <c r="B9" s="9" t="n">
        <v>13</v>
      </c>
      <c r="C9" s="34">
        <f>B9*1000/52</f>
        <v>250.0</v>
      </c>
      <c r="D9" s="7">
        <f>SUMIFS('2 Time database'!$D$5:$D$34,'2 Time database'!$A$5:$A$34,$A9)*365/60</f>
        <v>2822.6666666667</v>
      </c>
      <c r="E9" s="36">
        <f>C9/(D9/1000)</f>
        <v>88.568729334</v>
      </c>
      <c r="F9" s="7">
        <f>660*365/60</f>
        <v>4015.0</v>
      </c>
      <c r="G9" s="29">
        <f>C9/(F9/1000)</f>
        <v>62.2665006227</v>
      </c>
      <c r="H9" s="34">
        <f>E9/$E$6*100</f>
        <v>28.8786037309</v>
      </c>
      <c r="I9" s="37">
        <f>RANK(E9,$E$5:$E$10)</f>
        <v>4.0</v>
      </c>
      <c r="J9" s="12" t="inlineStr">
        <is>
          <t>Small population, high yield: monetisation follows income AND product design.</t>
        </is>
      </c>
    </row>
    <row r="10" ht="32" customHeight="1">
      <c r="A10" s="6" t="inlineStr">
        <is>
          <t>Brazil</t>
        </is>
      </c>
      <c r="B10" s="13" t="n">
        <v>12</v>
      </c>
      <c r="C10" s="34">
        <f>B10*1000/212</f>
        <v>56.6037735849</v>
      </c>
      <c r="D10" s="7">
        <f>SUMIFS('2 Time database'!$D$5:$D$34,'2 Time database'!$A$5:$A$34,$A10)*365/60</f>
        <v>3917.6666666667</v>
      </c>
      <c r="E10" s="36">
        <f>C10/(D10/1000)</f>
        <v>14.4483383608</v>
      </c>
      <c r="F10" s="7">
        <f>645*365/60</f>
        <v>3923.75</v>
      </c>
      <c r="G10" s="29">
        <f>C10/(F10/1000)</f>
        <v>14.4259378362</v>
      </c>
      <c r="H10" s="34">
        <f>E10/$E$6*100</f>
        <v>4.7110062573</v>
      </c>
      <c r="I10" s="37">
        <f>RANK(E10,$E$5:$E$10)</f>
        <v>5.0</v>
      </c>
      <c r="J10" s="12" t="inlineStr">
        <is>
          <t>The world's social-media champion by time, monetised at emerging-market rates.</t>
        </is>
      </c>
    </row>
    <row r="11"/>
    <row r="12" ht="58" customHeight="1">
      <c r="A12" s="15" t="inlineStr">
        <is>
          <t>Method note</t>
        </is>
      </c>
      <c r="B12" s="16" t="inlineStr">
        <is>
          <t>Two denominators are shown deliberately. '5-format sum' adds only the five formats tracked on sheet 2, internally consistent, but a lower bound because radio, print, podcasts and out-of-home time are excluded. 'All-media measure' uses published total media time per person (The Drum, Mar-2026), a broader definition that overlaps in places. Both produce the same ranking. Numerator = MPA screen economy (TV + online video), which excludes gaming and publishing. Use the index for relative comparison, never as an accounting identity.</t>
        </is>
      </c>
      <c r="C12" s="17" t="n"/>
      <c r="D12" s="17" t="n"/>
      <c r="E12" s="17" t="n"/>
      <c r="F12" s="17" t="n"/>
      <c r="G12" s="17" t="n"/>
      <c r="H12" s="17" t="n"/>
      <c r="I12" s="17" t="n"/>
      <c r="J12" s="18" t="n"/>
    </row>
    <row r="13">
      <c r="B13" s="19" t="n"/>
      <c r="C13" s="20" t="n"/>
      <c r="D13" s="20" t="n"/>
      <c r="E13" s="20" t="n"/>
      <c r="F13" s="20" t="n"/>
      <c r="G13" s="20" t="n"/>
      <c r="H13" s="20" t="n"/>
      <c r="I13" s="20" t="n"/>
      <c r="J13" s="21" t="n"/>
    </row>
  </sheetData>
  <mergeCells count="1">
    <mergeCell ref="B12:J13"/>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4" customWidth="1" min="7" max="7"/>
    <col width="46" customWidth="1" min="8" max="8"/>
  </cols>
  <sheetData>
    <row r="1">
      <c r="A1" s="1" t="inlineStr">
        <is>
          <t>MATRIX VIEW, minutes per person per day (2025)</t>
        </is>
      </c>
    </row>
    <row r="2">
      <c r="A2" s="2" t="inlineStr">
        <is>
          <t>Formula-driven from sheet '2 Time database' (SUMIFS). Change the database and this updates.</t>
        </is>
      </c>
    </row>
    <row r="3"/>
    <row r="4" ht="30" customHeight="1">
      <c r="A4" s="5" t="inlineStr">
        <is>
          <t>Country</t>
        </is>
      </c>
      <c r="B4" s="5" t="inlineStr">
        <is>
          <t>TV (linear)</t>
        </is>
      </c>
      <c r="C4" s="5" t="inlineStr">
        <is>
          <t>Streaming video</t>
        </is>
      </c>
      <c r="D4" s="5" t="inlineStr">
        <is>
          <t>Social &amp; short video</t>
        </is>
      </c>
      <c r="E4" s="5" t="inlineStr">
        <is>
          <t>Gaming</t>
        </is>
      </c>
      <c r="F4" s="5" t="inlineStr">
        <is>
          <t>Music &amp; audio</t>
        </is>
      </c>
      <c r="G4" s="5" t="inlineStr">
        <is>
          <t>Total</t>
        </is>
      </c>
      <c r="H4" s="5" t="inlineStr">
        <is>
          <t>Note</t>
        </is>
      </c>
    </row>
    <row r="5">
      <c r="A5" s="6" t="inlineStr">
        <is>
          <t>India</t>
        </is>
      </c>
      <c r="B5" s="7">
        <f>SUMIFS('2 Time database'!$D$5:$D$34,'2 Time database'!$A$5:$A$34,$A5,'2 Time database'!$B$5:$B$34,B$4)</f>
        <v>65.0</v>
      </c>
      <c r="C5" s="7">
        <f>SUMIFS('2 Time database'!$D$5:$D$34,'2 Time database'!$A$5:$A$34,$A5,'2 Time database'!$B$5:$B$34,C$4)</f>
        <v>70.0</v>
      </c>
      <c r="D5" s="7">
        <f>SUMIFS('2 Time database'!$D$5:$D$34,'2 Time database'!$A$5:$A$34,$A5,'2 Time database'!$B$5:$B$34,D$4)</f>
        <v>140.0</v>
      </c>
      <c r="E5" s="7">
        <f>SUMIFS('2 Time database'!$D$5:$D$34,'2 Time database'!$A$5:$A$34,$A5,'2 Time database'!$B$5:$B$34,E$4)</f>
        <v>75.0</v>
      </c>
      <c r="F5" s="7">
        <f>SUMIFS('2 Time database'!$D$5:$D$34,'2 Time database'!$A$5:$A$34,$A5,'2 Time database'!$B$5:$B$34,F$4)</f>
        <v>45.0</v>
      </c>
      <c r="G5" s="38">
        <f>SUM(B5:F5)</f>
        <v>395.0</v>
      </c>
      <c r="H5" s="12" t="inlineStr">
        <is>
          <t>Highest social + gaming time of the six, lowest TV time, a mobile-first market, not a TV market.</t>
        </is>
      </c>
    </row>
    <row r="6">
      <c r="A6" s="6" t="inlineStr">
        <is>
          <t>United States</t>
        </is>
      </c>
      <c r="B6" s="7">
        <f>SUMIFS('2 Time database'!$D$5:$D$34,'2 Time database'!$A$5:$A$34,$A6,'2 Time database'!$B$5:$B$34,B$4)</f>
        <v>104.0</v>
      </c>
      <c r="C6" s="7">
        <f>SUMIFS('2 Time database'!$D$5:$D$34,'2 Time database'!$A$5:$A$34,$A6,'2 Time database'!$B$5:$B$34,C$4)</f>
        <v>118.0</v>
      </c>
      <c r="D6" s="7">
        <f>SUMIFS('2 Time database'!$D$5:$D$34,'2 Time database'!$A$5:$A$34,$A6,'2 Time database'!$B$5:$B$34,D$4)</f>
        <v>136.0</v>
      </c>
      <c r="E6" s="7">
        <f>SUMIFS('2 Time database'!$D$5:$D$34,'2 Time database'!$A$5:$A$34,$A6,'2 Time database'!$B$5:$B$34,E$4)</f>
        <v>60.0</v>
      </c>
      <c r="F6" s="7">
        <f>SUMIFS('2 Time database'!$D$5:$D$34,'2 Time database'!$A$5:$A$34,$A6,'2 Time database'!$B$5:$B$34,F$4)</f>
        <v>60.0</v>
      </c>
      <c r="G6" s="38">
        <f>SUM(B6:F6)</f>
        <v>478.0</v>
      </c>
      <c r="H6" s="12" t="inlineStr">
        <is>
          <t>TV time is half the total and half of it is now streaming, not broadcast.</t>
        </is>
      </c>
    </row>
    <row r="7">
      <c r="A7" s="6" t="inlineStr">
        <is>
          <t>United Kingdom</t>
        </is>
      </c>
      <c r="B7" s="7">
        <f>SUMIFS('2 Time database'!$D$5:$D$34,'2 Time database'!$A$5:$A$34,$A7,'2 Time database'!$B$5:$B$34,B$4)</f>
        <v>111.0</v>
      </c>
      <c r="C7" s="7">
        <f>SUMIFS('2 Time database'!$D$5:$D$34,'2 Time database'!$A$5:$A$34,$A7,'2 Time database'!$B$5:$B$34,C$4)</f>
        <v>152.0</v>
      </c>
      <c r="D7" s="7">
        <f>SUMIFS('2 Time database'!$D$5:$D$34,'2 Time database'!$A$5:$A$34,$A7,'2 Time database'!$B$5:$B$34,D$4)</f>
        <v>97.0</v>
      </c>
      <c r="E7" s="7">
        <f>SUMIFS('2 Time database'!$D$5:$D$34,'2 Time database'!$A$5:$A$34,$A7,'2 Time database'!$B$5:$B$34,E$4)</f>
        <v>55.0</v>
      </c>
      <c r="F7" s="7">
        <f>SUMIFS('2 Time database'!$D$5:$D$34,'2 Time database'!$A$5:$A$34,$A7,'2 Time database'!$B$5:$B$34,F$4)</f>
        <v>55.0</v>
      </c>
      <c r="G7" s="38">
        <f>SUM(B7:F7)</f>
        <v>470.0</v>
      </c>
      <c r="H7" s="12" t="inlineStr">
        <is>
          <t>Most video-saturated market: 4h23m of in-home video a day, of which only 1h51m is broadcast.</t>
        </is>
      </c>
    </row>
    <row r="8">
      <c r="A8" s="6" t="inlineStr">
        <is>
          <t>Japan</t>
        </is>
      </c>
      <c r="B8" s="7">
        <f>SUMIFS('2 Time database'!$D$5:$D$34,'2 Time database'!$A$5:$A$34,$A8,'2 Time database'!$B$5:$B$34,B$4)</f>
        <v>217.0</v>
      </c>
      <c r="C8" s="7">
        <f>SUMIFS('2 Time database'!$D$5:$D$34,'2 Time database'!$A$5:$A$34,$A8,'2 Time database'!$B$5:$B$34,C$4)</f>
        <v>50.0</v>
      </c>
      <c r="D8" s="7">
        <f>SUMIFS('2 Time database'!$D$5:$D$34,'2 Time database'!$A$5:$A$34,$A8,'2 Time database'!$B$5:$B$34,D$4)</f>
        <v>50.0</v>
      </c>
      <c r="E8" s="7">
        <f>SUMIFS('2 Time database'!$D$5:$D$34,'2 Time database'!$A$5:$A$34,$A8,'2 Time database'!$B$5:$B$34,E$4)</f>
        <v>60.0</v>
      </c>
      <c r="F8" s="7">
        <f>SUMIFS('2 Time database'!$D$5:$D$34,'2 Time database'!$A$5:$A$34,$A8,'2 Time database'!$B$5:$B$34,F$4)</f>
        <v>40.0</v>
      </c>
      <c r="G8" s="38">
        <f>SUM(B8:F8)</f>
        <v>417.0</v>
      </c>
      <c r="H8" s="12" t="inlineStr">
        <is>
          <t>The outlier: TV still dominates and social time is the lowest of any major market.</t>
        </is>
      </c>
    </row>
    <row r="9">
      <c r="A9" s="6" t="inlineStr">
        <is>
          <t>South Korea</t>
        </is>
      </c>
      <c r="B9" s="7">
        <f>SUMIFS('2 Time database'!$D$5:$D$34,'2 Time database'!$A$5:$A$34,$A9,'2 Time database'!$B$5:$B$34,B$4)</f>
        <v>199.0</v>
      </c>
      <c r="C9" s="7">
        <f>SUMIFS('2 Time database'!$D$5:$D$34,'2 Time database'!$A$5:$A$34,$A9,'2 Time database'!$B$5:$B$34,C$4)</f>
        <v>55.0</v>
      </c>
      <c r="D9" s="7">
        <f>SUMIFS('2 Time database'!$D$5:$D$34,'2 Time database'!$A$5:$A$34,$A9,'2 Time database'!$B$5:$B$34,D$4)</f>
        <v>70.0</v>
      </c>
      <c r="E9" s="7">
        <f>SUMIFS('2 Time database'!$D$5:$D$34,'2 Time database'!$A$5:$A$34,$A9,'2 Time database'!$B$5:$B$34,E$4)</f>
        <v>90.0</v>
      </c>
      <c r="F9" s="7">
        <f>SUMIFS('2 Time database'!$D$5:$D$34,'2 Time database'!$A$5:$A$34,$A9,'2 Time database'!$B$5:$B$34,F$4)</f>
        <v>50.0</v>
      </c>
      <c r="G9" s="38">
        <f>SUM(B9:F9)</f>
        <v>464.0</v>
      </c>
      <c r="H9" s="12" t="inlineStr">
        <is>
          <t>TV and gaming both high, a market with two mass habits, not one.</t>
        </is>
      </c>
    </row>
    <row r="10">
      <c r="A10" s="6" t="inlineStr">
        <is>
          <t>Brazil</t>
        </is>
      </c>
      <c r="B10" s="7">
        <f>SUMIFS('2 Time database'!$D$5:$D$34,'2 Time database'!$A$5:$A$34,$A10,'2 Time database'!$B$5:$B$34,B$4)</f>
        <v>210.0</v>
      </c>
      <c r="C10" s="7">
        <f>SUMIFS('2 Time database'!$D$5:$D$34,'2 Time database'!$A$5:$A$34,$A10,'2 Time database'!$B$5:$B$34,C$4)</f>
        <v>80.0</v>
      </c>
      <c r="D10" s="7">
        <f>SUMIFS('2 Time database'!$D$5:$D$34,'2 Time database'!$A$5:$A$34,$A10,'2 Time database'!$B$5:$B$34,D$4)</f>
        <v>229.0</v>
      </c>
      <c r="E10" s="7">
        <f>SUMIFS('2 Time database'!$D$5:$D$34,'2 Time database'!$A$5:$A$34,$A10,'2 Time database'!$B$5:$B$34,E$4)</f>
        <v>55.0</v>
      </c>
      <c r="F10" s="7">
        <f>SUMIFS('2 Time database'!$D$5:$D$34,'2 Time database'!$A$5:$A$34,$A10,'2 Time database'!$B$5:$B$34,F$4)</f>
        <v>70.0</v>
      </c>
      <c r="G10" s="38">
        <f>SUM(B10:F10)</f>
        <v>644.0</v>
      </c>
      <c r="H10" s="12" t="inlineStr">
        <is>
          <t>The social-media champion: 3h49m a day on social, more than any other market measured.</t>
        </is>
      </c>
    </row>
    <row r="11">
      <c r="A11" s="15" t="inlineStr">
        <is>
          <t>Average</t>
        </is>
      </c>
      <c r="B11" s="39">
        <f>AVERAGE(B5:B10)</f>
        <v>151.0</v>
      </c>
      <c r="C11" s="39">
        <f>AVERAGE(C5:C10)</f>
        <v>87.5</v>
      </c>
      <c r="D11" s="39">
        <f>AVERAGE(D5:D10)</f>
        <v>120.3333333333</v>
      </c>
      <c r="E11" s="39">
        <f>AVERAGE(E5:E10)</f>
        <v>65.8333333333</v>
      </c>
      <c r="F11" s="39">
        <f>AVERAGE(F5:F10)</f>
        <v>53.3333333333</v>
      </c>
      <c r="G11" s="39">
        <f>AVERAGE(G5:G10)</f>
        <v>478.0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4" customWidth="1" min="9" max="9"/>
    <col width="46" customWidth="1" min="10" max="10"/>
  </cols>
  <sheetData>
    <row r="1">
      <c r="A1" s="1" t="inlineStr">
        <is>
          <t>MATRIX VIEW, industry revenue, USD bn (2025)</t>
        </is>
      </c>
    </row>
    <row r="2">
      <c r="A2" s="2" t="inlineStr">
        <is>
          <t>Formula-driven from sheet '3 Market size'. Definitions differ by row, read the definition column before quoting.</t>
        </is>
      </c>
    </row>
    <row r="3"/>
    <row r="4" ht="30" customHeight="1">
      <c r="A4" s="5" t="inlineStr">
        <is>
          <t>Country</t>
        </is>
      </c>
      <c r="B4" s="5" t="inlineStr">
        <is>
          <t>TV (linear)</t>
        </is>
      </c>
      <c r="C4" s="5" t="inlineStr">
        <is>
          <t>OTT video</t>
        </is>
      </c>
      <c r="D4" s="5" t="inlineStr">
        <is>
          <t>Digital advertising</t>
        </is>
      </c>
      <c r="E4" s="5" t="inlineStr">
        <is>
          <t>Gaming</t>
        </is>
      </c>
      <c r="F4" s="5" t="inlineStr">
        <is>
          <t>Recorded music</t>
        </is>
      </c>
      <c r="G4" s="5" t="inlineStr">
        <is>
          <t>Live events</t>
        </is>
      </c>
      <c r="H4" s="5" t="inlineStr">
        <is>
          <t>Theatrical</t>
        </is>
      </c>
      <c r="I4" s="5" t="inlineStr">
        <is>
          <t>Total</t>
        </is>
      </c>
      <c r="J4" s="5" t="inlineStr">
        <is>
          <t>Note</t>
        </is>
      </c>
    </row>
    <row r="5">
      <c r="A5" s="6" t="inlineStr">
        <is>
          <t>India</t>
        </is>
      </c>
      <c r="B5" s="34">
        <f>SUMIFS('3 Market size'!$D$5:$D$46,'3 Market size'!$A$5:$A$46,$A5,'3 Market size'!$B$5:$B$46,B$4)</f>
        <v>14.6</v>
      </c>
      <c r="C5" s="34">
        <f>SUMIFS('3 Market size'!$D$5:$D$46,'3 Market size'!$A$5:$A$46,$A5,'3 Market size'!$B$5:$B$46,C$4)</f>
        <v>2.2</v>
      </c>
      <c r="D5" s="34">
        <f>SUMIFS('3 Market size'!$D$5:$D$46,'3 Market size'!$A$5:$A$46,$A5,'3 Market size'!$B$5:$B$46,D$4)</f>
        <v>11.6</v>
      </c>
      <c r="E5" s="34">
        <f>SUMIFS('3 Market size'!$D$5:$D$46,'3 Market size'!$A$5:$A$46,$A5,'3 Market size'!$B$5:$B$46,E$4)</f>
        <v>1.5</v>
      </c>
      <c r="F5" s="34">
        <f>SUMIFS('3 Market size'!$D$5:$D$46,'3 Market size'!$A$5:$A$46,$A5,'3 Market size'!$B$5:$B$46,F$4)</f>
        <v>0.3</v>
      </c>
      <c r="G5" s="34">
        <f>SUMIFS('3 Market size'!$D$5:$D$46,'3 Market size'!$A$5:$A$46,$A5,'3 Market size'!$B$5:$B$46,G$4)</f>
        <v>1.55</v>
      </c>
      <c r="H5" s="34">
        <f>SUMIFS('3 Market size'!$D$5:$D$46,'3 Market size'!$A$5:$A$46,$A5,'3 Market size'!$B$5:$B$46,H$4)</f>
        <v>1.5</v>
      </c>
      <c r="I5" s="40">
        <f>SUM(B5:H5)</f>
        <v>33.25</v>
      </c>
      <c r="J5" s="12" t="inlineStr">
        <is>
          <t>Every format is small in dollars and looks large in users. The wedge is monetisation, not audience.</t>
        </is>
      </c>
    </row>
    <row r="6">
      <c r="A6" s="6" t="inlineStr">
        <is>
          <t>United States</t>
        </is>
      </c>
      <c r="B6" s="34">
        <f>SUMIFS('3 Market size'!$D$5:$D$46,'3 Market size'!$A$5:$A$46,$A6,'3 Market size'!$B$5:$B$46,B$4)</f>
        <v>135.0</v>
      </c>
      <c r="C6" s="34">
        <f>SUMIFS('3 Market size'!$D$5:$D$46,'3 Market size'!$A$5:$A$46,$A6,'3 Market size'!$B$5:$B$46,C$4)</f>
        <v>113.3</v>
      </c>
      <c r="D6" s="34">
        <f>SUMIFS('3 Market size'!$D$5:$D$46,'3 Market size'!$A$5:$A$46,$A6,'3 Market size'!$B$5:$B$46,D$4)</f>
        <v>295.0</v>
      </c>
      <c r="E6" s="34">
        <f>SUMIFS('3 Market size'!$D$5:$D$46,'3 Market size'!$A$5:$A$46,$A6,'3 Market size'!$B$5:$B$46,E$4)</f>
        <v>49.6</v>
      </c>
      <c r="F6" s="34">
        <f>SUMIFS('3 Market size'!$D$5:$D$46,'3 Market size'!$A$5:$A$46,$A6,'3 Market size'!$B$5:$B$46,F$4)</f>
        <v>12.3</v>
      </c>
      <c r="G6" s="34">
        <f>SUMIFS('3 Market size'!$D$5:$D$46,'3 Market size'!$A$5:$A$46,$A6,'3 Market size'!$B$5:$B$46,G$4)</f>
        <v>12.6</v>
      </c>
      <c r="H6" s="34">
        <f>SUMIFS('3 Market size'!$D$5:$D$46,'3 Market size'!$A$5:$A$46,$A6,'3 Market size'!$B$5:$B$46,H$4)</f>
        <v>8.9</v>
      </c>
      <c r="I6" s="40">
        <f>SUM(B6:H6)</f>
        <v>626.7</v>
      </c>
      <c r="J6" s="12" t="inlineStr">
        <is>
          <t>OTT video alone ($113bn) is 51x India's entire OTT market on a 13% larger paying base.</t>
        </is>
      </c>
    </row>
    <row r="7">
      <c r="A7" s="6" t="inlineStr">
        <is>
          <t>United Kingdom</t>
        </is>
      </c>
      <c r="B7" s="34">
        <f>SUMIFS('3 Market size'!$D$5:$D$46,'3 Market size'!$A$5:$A$46,$A7,'3 Market size'!$B$5:$B$46,B$4)</f>
        <v>12.0</v>
      </c>
      <c r="C7" s="34">
        <f>SUMIFS('3 Market size'!$D$5:$D$46,'3 Market size'!$A$5:$A$46,$A7,'3 Market size'!$B$5:$B$46,C$4)</f>
        <v>7.0</v>
      </c>
      <c r="D7" s="34">
        <f>SUMIFS('3 Market size'!$D$5:$D$46,'3 Market size'!$A$5:$A$46,$A7,'3 Market size'!$B$5:$B$46,D$4)</f>
        <v>30.0</v>
      </c>
      <c r="E7" s="34">
        <f>SUMIFS('3 Market size'!$D$5:$D$46,'3 Market size'!$A$5:$A$46,$A7,'3 Market size'!$B$5:$B$46,E$4)</f>
        <v>6.8</v>
      </c>
      <c r="F7" s="34">
        <f>SUMIFS('3 Market size'!$D$5:$D$46,'3 Market size'!$A$5:$A$46,$A7,'3 Market size'!$B$5:$B$46,F$4)</f>
        <v>1.9</v>
      </c>
      <c r="G7" s="34">
        <f>SUMIFS('3 Market size'!$D$5:$D$46,'3 Market size'!$A$5:$A$46,$A7,'3 Market size'!$B$5:$B$46,G$4)</f>
        <v>2.5</v>
      </c>
      <c r="H7" s="34">
        <f>SUMIFS('3 Market size'!$D$5:$D$46,'3 Market size'!$A$5:$A$46,$A7,'3 Market size'!$B$5:$B$46,H$4)</f>
        <v>1.5</v>
      </c>
      <c r="I7" s="40">
        <f>SUM(B7:H7)</f>
        <v>61.7</v>
      </c>
      <c r="J7" s="12" t="inlineStr">
        <is>
          <t>Gaming and digital advertising carry a market whose traditional TV is shrinking.</t>
        </is>
      </c>
    </row>
    <row r="8">
      <c r="A8" s="6" t="inlineStr">
        <is>
          <t>Japan</t>
        </is>
      </c>
      <c r="B8" s="34">
        <f>SUMIFS('3 Market size'!$D$5:$D$46,'3 Market size'!$A$5:$A$46,$A8,'3 Market size'!$B$5:$B$46,B$4)</f>
        <v>22.0</v>
      </c>
      <c r="C8" s="34">
        <f>SUMIFS('3 Market size'!$D$5:$D$46,'3 Market size'!$A$5:$A$46,$A8,'3 Market size'!$B$5:$B$46,C$4)</f>
        <v>6.0</v>
      </c>
      <c r="D8" s="34">
        <f>SUMIFS('3 Market size'!$D$5:$D$46,'3 Market size'!$A$5:$A$46,$A8,'3 Market size'!$B$5:$B$46,D$4)</f>
        <v>25.0</v>
      </c>
      <c r="E8" s="34">
        <f>SUMIFS('3 Market size'!$D$5:$D$46,'3 Market size'!$A$5:$A$46,$A8,'3 Market size'!$B$5:$B$46,E$4)</f>
        <v>17.6</v>
      </c>
      <c r="F8" s="34">
        <f>SUMIFS('3 Market size'!$D$5:$D$46,'3 Market size'!$A$5:$A$46,$A8,'3 Market size'!$B$5:$B$46,F$4)</f>
        <v>3.0</v>
      </c>
      <c r="G8" s="34">
        <f>SUMIFS('3 Market size'!$D$5:$D$46,'3 Market size'!$A$5:$A$46,$A8,'3 Market size'!$B$5:$B$46,G$4)</f>
        <v>1.5</v>
      </c>
      <c r="H8" s="34">
        <f>SUMIFS('3 Market size'!$D$5:$D$46,'3 Market size'!$A$5:$A$46,$A8,'3 Market size'!$B$5:$B$46,H$4)</f>
        <v>1.8</v>
      </c>
      <c r="I8" s="40">
        <f>SUM(B8:H8)</f>
        <v>76.9</v>
      </c>
      <c r="J8" s="12" t="inlineStr">
        <is>
          <t>Gaming ($17.6bn) is bigger than Japan's TV and cinema markets combined.</t>
        </is>
      </c>
    </row>
    <row r="9">
      <c r="A9" s="6" t="inlineStr">
        <is>
          <t>South Korea</t>
        </is>
      </c>
      <c r="B9" s="34">
        <f>SUMIFS('3 Market size'!$D$5:$D$46,'3 Market size'!$A$5:$A$46,$A9,'3 Market size'!$B$5:$B$46,B$4)</f>
        <v>6.0</v>
      </c>
      <c r="C9" s="34">
        <f>SUMIFS('3 Market size'!$D$5:$D$46,'3 Market size'!$A$5:$A$46,$A9,'3 Market size'!$B$5:$B$46,C$4)</f>
        <v>2.5</v>
      </c>
      <c r="D9" s="34">
        <f>SUMIFS('3 Market size'!$D$5:$D$46,'3 Market size'!$A$5:$A$46,$A9,'3 Market size'!$B$5:$B$46,D$4)</f>
        <v>8.0</v>
      </c>
      <c r="E9" s="34">
        <f>SUMIFS('3 Market size'!$D$5:$D$46,'3 Market size'!$A$5:$A$46,$A9,'3 Market size'!$B$5:$B$46,E$4)</f>
        <v>8.3</v>
      </c>
      <c r="F9" s="34">
        <f>SUMIFS('3 Market size'!$D$5:$D$46,'3 Market size'!$A$5:$A$46,$A9,'3 Market size'!$B$5:$B$46,F$4)</f>
        <v>0.9</v>
      </c>
      <c r="G9" s="34">
        <f>SUMIFS('3 Market size'!$D$5:$D$46,'3 Market size'!$A$5:$A$46,$A9,'3 Market size'!$B$5:$B$46,G$4)</f>
        <v>0.6</v>
      </c>
      <c r="H9" s="34">
        <f>SUMIFS('3 Market size'!$D$5:$D$46,'3 Market size'!$A$5:$A$46,$A9,'3 Market size'!$B$5:$B$46,H$4)</f>
        <v>0.7</v>
      </c>
      <c r="I9" s="40">
        <f>SUM(B9:H9)</f>
        <v>27.0</v>
      </c>
      <c r="J9" s="12" t="inlineStr">
        <is>
          <t>Gaming is the largest format in the country, ahead of TV. Almost nowhere else on earth.</t>
        </is>
      </c>
    </row>
    <row r="10">
      <c r="A10" s="6" t="inlineStr">
        <is>
          <t>Brazil</t>
        </is>
      </c>
      <c r="B10" s="34">
        <f>SUMIFS('3 Market size'!$D$5:$D$46,'3 Market size'!$A$5:$A$46,$A10,'3 Market size'!$B$5:$B$46,B$4)</f>
        <v>9.0</v>
      </c>
      <c r="C10" s="34">
        <f>SUMIFS('3 Market size'!$D$5:$D$46,'3 Market size'!$A$5:$A$46,$A10,'3 Market size'!$B$5:$B$46,C$4)</f>
        <v>3.5</v>
      </c>
      <c r="D10" s="34">
        <f>SUMIFS('3 Market size'!$D$5:$D$46,'3 Market size'!$A$5:$A$46,$A10,'3 Market size'!$B$5:$B$46,D$4)</f>
        <v>8.0</v>
      </c>
      <c r="E10" s="34">
        <f>SUMIFS('3 Market size'!$D$5:$D$46,'3 Market size'!$A$5:$A$46,$A10,'3 Market size'!$B$5:$B$46,E$4)</f>
        <v>2.8</v>
      </c>
      <c r="F10" s="34">
        <f>SUMIFS('3 Market size'!$D$5:$D$46,'3 Market size'!$A$5:$A$46,$A10,'3 Market size'!$B$5:$B$46,F$4)</f>
        <v>0.55</v>
      </c>
      <c r="G10" s="34">
        <f>SUMIFS('3 Market size'!$D$5:$D$46,'3 Market size'!$A$5:$A$46,$A10,'3 Market size'!$B$5:$B$46,G$4)</f>
        <v>0.8</v>
      </c>
      <c r="H10" s="34">
        <f>SUMIFS('3 Market size'!$D$5:$D$46,'3 Market size'!$A$5:$A$46,$A10,'3 Market size'!$B$5:$B$46,H$4)</f>
        <v>0.4</v>
      </c>
      <c r="I10" s="40">
        <f>SUM(B10:H10)</f>
        <v>25.05</v>
      </c>
      <c r="J10" s="12" t="inlineStr">
        <is>
          <t>Digital advertising and gaming lead; Brazil is IFPI's fastest-rising top-10 music market.</t>
        </is>
      </c>
    </row>
    <row r="11">
      <c r="A11" s="15" t="inlineStr">
        <is>
          <t>Average</t>
        </is>
      </c>
      <c r="B11" s="41">
        <f>AVERAGE(B5:B10)</f>
        <v>33.1</v>
      </c>
      <c r="C11" s="41">
        <f>AVERAGE(C5:C10)</f>
        <v>22.4166666667</v>
      </c>
      <c r="D11" s="41">
        <f>AVERAGE(D5:D10)</f>
        <v>62.9333333333</v>
      </c>
      <c r="E11" s="41">
        <f>AVERAGE(E5:E10)</f>
        <v>14.4333333333</v>
      </c>
      <c r="F11" s="41">
        <f>AVERAGE(F5:F10)</f>
        <v>3.1583333333</v>
      </c>
      <c r="G11" s="41">
        <f>AVERAGE(G5:G10)</f>
        <v>3.2583333333</v>
      </c>
      <c r="H11" s="41">
        <f>AVERAGE(H5:H10)</f>
        <v>2.4666666667</v>
      </c>
      <c r="I11" s="41">
        <f>AVERAGE(I5:I10)</f>
        <v>141.7666666667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4" customWidth="1" min="9" max="9"/>
  </cols>
  <sheetData>
    <row r="1">
      <c r="A1" s="1" t="inlineStr">
        <is>
          <t>MATRIX VIEW, industry revenue per capita, USD per person per year (2025)</t>
        </is>
      </c>
    </row>
    <row r="2">
      <c r="A2" s="2" t="inlineStr">
        <is>
          <t>Market size divided by population. This is the sheet to open when someone says 'India is a huge market'.</t>
        </is>
      </c>
    </row>
    <row r="3"/>
    <row r="4" ht="30" customHeight="1">
      <c r="A4" s="5" t="inlineStr">
        <is>
          <t>Country</t>
        </is>
      </c>
      <c r="B4" s="5" t="inlineStr">
        <is>
          <t>TV (linear)</t>
        </is>
      </c>
      <c r="C4" s="5" t="inlineStr">
        <is>
          <t>OTT video</t>
        </is>
      </c>
      <c r="D4" s="5" t="inlineStr">
        <is>
          <t>Digital advertising</t>
        </is>
      </c>
      <c r="E4" s="5" t="inlineStr">
        <is>
          <t>Gaming</t>
        </is>
      </c>
      <c r="F4" s="5" t="inlineStr">
        <is>
          <t>Recorded music</t>
        </is>
      </c>
      <c r="G4" s="5" t="inlineStr">
        <is>
          <t>Live events</t>
        </is>
      </c>
      <c r="H4" s="5" t="inlineStr">
        <is>
          <t>Theatrical</t>
        </is>
      </c>
      <c r="I4" s="5" t="inlineStr">
        <is>
          <t>Total</t>
        </is>
      </c>
    </row>
    <row r="5">
      <c r="A5" s="6" t="inlineStr">
        <is>
          <t>India</t>
        </is>
      </c>
      <c r="B5" s="29">
        <f>SUMIFS('3 Market size'!$D$5:$D$46,'3 Market size'!$A$5:$A$46,$A5,'3 Market size'!$B$5:$B$46,B$4)/1450*1000</f>
        <v>10.0689655172</v>
      </c>
      <c r="C5" s="29">
        <f>SUMIFS('3 Market size'!$D$5:$D$46,'3 Market size'!$A$5:$A$46,$A5,'3 Market size'!$B$5:$B$46,C$4)/1450*1000</f>
        <v>1.5172413793</v>
      </c>
      <c r="D5" s="29">
        <f>SUMIFS('3 Market size'!$D$5:$D$46,'3 Market size'!$A$5:$A$46,$A5,'3 Market size'!$B$5:$B$46,D$4)/1450*1000</f>
        <v>8.0</v>
      </c>
      <c r="E5" s="29">
        <f>SUMIFS('3 Market size'!$D$5:$D$46,'3 Market size'!$A$5:$A$46,$A5,'3 Market size'!$B$5:$B$46,E$4)/1450*1000</f>
        <v>1.0344827586</v>
      </c>
      <c r="F5" s="29">
        <f>SUMIFS('3 Market size'!$D$5:$D$46,'3 Market size'!$A$5:$A$46,$A5,'3 Market size'!$B$5:$B$46,F$4)/1450*1000</f>
        <v>0.2068965517</v>
      </c>
      <c r="G5" s="29">
        <f>SUMIFS('3 Market size'!$D$5:$D$46,'3 Market size'!$A$5:$A$46,$A5,'3 Market size'!$B$5:$B$46,G$4)/1450*1000</f>
        <v>1.0689655172</v>
      </c>
      <c r="H5" s="29">
        <f>SUMIFS('3 Market size'!$D$5:$D$46,'3 Market size'!$A$5:$A$46,$A5,'3 Market size'!$B$5:$B$46,H$4)/1450*1000</f>
        <v>1.0344827586</v>
      </c>
      <c r="I5" s="42">
        <f>SUM(B5:H5)</f>
        <v>22.9310344828</v>
      </c>
    </row>
    <row r="6">
      <c r="A6" s="6" t="inlineStr">
        <is>
          <t>United States</t>
        </is>
      </c>
      <c r="B6" s="29">
        <f>SUMIFS('3 Market size'!$D$5:$D$46,'3 Market size'!$A$5:$A$46,$A6,'3 Market size'!$B$5:$B$46,B$4)/342*1000</f>
        <v>394.7368421053</v>
      </c>
      <c r="C6" s="29">
        <f>SUMIFS('3 Market size'!$D$5:$D$46,'3 Market size'!$A$5:$A$46,$A6,'3 Market size'!$B$5:$B$46,C$4)/342*1000</f>
        <v>331.2865497076</v>
      </c>
      <c r="D6" s="29">
        <f>SUMIFS('3 Market size'!$D$5:$D$46,'3 Market size'!$A$5:$A$46,$A6,'3 Market size'!$B$5:$B$46,D$4)/342*1000</f>
        <v>862.5730994152</v>
      </c>
      <c r="E6" s="29">
        <f>SUMIFS('3 Market size'!$D$5:$D$46,'3 Market size'!$A$5:$A$46,$A6,'3 Market size'!$B$5:$B$46,E$4)/342*1000</f>
        <v>145.0292397661</v>
      </c>
      <c r="F6" s="29">
        <f>SUMIFS('3 Market size'!$D$5:$D$46,'3 Market size'!$A$5:$A$46,$A6,'3 Market size'!$B$5:$B$46,F$4)/342*1000</f>
        <v>35.9649122807</v>
      </c>
      <c r="G6" s="29">
        <f>SUMIFS('3 Market size'!$D$5:$D$46,'3 Market size'!$A$5:$A$46,$A6,'3 Market size'!$B$5:$B$46,G$4)/342*1000</f>
        <v>36.8421052632</v>
      </c>
      <c r="H6" s="29">
        <f>SUMIFS('3 Market size'!$D$5:$D$46,'3 Market size'!$A$5:$A$46,$A6,'3 Market size'!$B$5:$B$46,H$4)/342*1000</f>
        <v>26.0233918129</v>
      </c>
      <c r="I6" s="42">
        <f>SUM(B6:H6)</f>
        <v>1832.4561403509</v>
      </c>
    </row>
    <row r="7">
      <c r="A7" s="6" t="inlineStr">
        <is>
          <t>United Kingdom</t>
        </is>
      </c>
      <c r="B7" s="29">
        <f>SUMIFS('3 Market size'!$D$5:$D$46,'3 Market size'!$A$5:$A$46,$A7,'3 Market size'!$B$5:$B$46,B$4)/69*1000</f>
        <v>173.9130434783</v>
      </c>
      <c r="C7" s="29">
        <f>SUMIFS('3 Market size'!$D$5:$D$46,'3 Market size'!$A$5:$A$46,$A7,'3 Market size'!$B$5:$B$46,C$4)/69*1000</f>
        <v>101.4492753623</v>
      </c>
      <c r="D7" s="29">
        <f>SUMIFS('3 Market size'!$D$5:$D$46,'3 Market size'!$A$5:$A$46,$A7,'3 Market size'!$B$5:$B$46,D$4)/69*1000</f>
        <v>434.7826086957</v>
      </c>
      <c r="E7" s="29">
        <f>SUMIFS('3 Market size'!$D$5:$D$46,'3 Market size'!$A$5:$A$46,$A7,'3 Market size'!$B$5:$B$46,E$4)/69*1000</f>
        <v>98.5507246377</v>
      </c>
      <c r="F7" s="29">
        <f>SUMIFS('3 Market size'!$D$5:$D$46,'3 Market size'!$A$5:$A$46,$A7,'3 Market size'!$B$5:$B$46,F$4)/69*1000</f>
        <v>27.5362318841</v>
      </c>
      <c r="G7" s="29">
        <f>SUMIFS('3 Market size'!$D$5:$D$46,'3 Market size'!$A$5:$A$46,$A7,'3 Market size'!$B$5:$B$46,G$4)/69*1000</f>
        <v>36.231884058</v>
      </c>
      <c r="H7" s="29">
        <f>SUMIFS('3 Market size'!$D$5:$D$46,'3 Market size'!$A$5:$A$46,$A7,'3 Market size'!$B$5:$B$46,H$4)/69*1000</f>
        <v>21.7391304348</v>
      </c>
      <c r="I7" s="42">
        <f>SUM(B7:H7)</f>
        <v>894.2028985507</v>
      </c>
    </row>
    <row r="8">
      <c r="A8" s="6" t="inlineStr">
        <is>
          <t>Japan</t>
        </is>
      </c>
      <c r="B8" s="29">
        <f>SUMIFS('3 Market size'!$D$5:$D$46,'3 Market size'!$A$5:$A$46,$A8,'3 Market size'!$B$5:$B$46,B$4)/123*1000</f>
        <v>178.8617886179</v>
      </c>
      <c r="C8" s="29">
        <f>SUMIFS('3 Market size'!$D$5:$D$46,'3 Market size'!$A$5:$A$46,$A8,'3 Market size'!$B$5:$B$46,C$4)/123*1000</f>
        <v>48.7804878049</v>
      </c>
      <c r="D8" s="29">
        <f>SUMIFS('3 Market size'!$D$5:$D$46,'3 Market size'!$A$5:$A$46,$A8,'3 Market size'!$B$5:$B$46,D$4)/123*1000</f>
        <v>203.2520325203</v>
      </c>
      <c r="E8" s="29">
        <f>SUMIFS('3 Market size'!$D$5:$D$46,'3 Market size'!$A$5:$A$46,$A8,'3 Market size'!$B$5:$B$46,E$4)/123*1000</f>
        <v>143.0894308943</v>
      </c>
      <c r="F8" s="29">
        <f>SUMIFS('3 Market size'!$D$5:$D$46,'3 Market size'!$A$5:$A$46,$A8,'3 Market size'!$B$5:$B$46,F$4)/123*1000</f>
        <v>24.3902439024</v>
      </c>
      <c r="G8" s="29">
        <f>SUMIFS('3 Market size'!$D$5:$D$46,'3 Market size'!$A$5:$A$46,$A8,'3 Market size'!$B$5:$B$46,G$4)/123*1000</f>
        <v>12.1951219512</v>
      </c>
      <c r="H8" s="29">
        <f>SUMIFS('3 Market size'!$D$5:$D$46,'3 Market size'!$A$5:$A$46,$A8,'3 Market size'!$B$5:$B$46,H$4)/123*1000</f>
        <v>14.6341463415</v>
      </c>
      <c r="I8" s="42">
        <f>SUM(B8:H8)</f>
        <v>625.2032520325</v>
      </c>
    </row>
    <row r="9">
      <c r="A9" s="6" t="inlineStr">
        <is>
          <t>South Korea</t>
        </is>
      </c>
      <c r="B9" s="29">
        <f>SUMIFS('3 Market size'!$D$5:$D$46,'3 Market size'!$A$5:$A$46,$A9,'3 Market size'!$B$5:$B$46,B$4)/52*1000</f>
        <v>115.3846153846</v>
      </c>
      <c r="C9" s="29">
        <f>SUMIFS('3 Market size'!$D$5:$D$46,'3 Market size'!$A$5:$A$46,$A9,'3 Market size'!$B$5:$B$46,C$4)/52*1000</f>
        <v>48.0769230769</v>
      </c>
      <c r="D9" s="29">
        <f>SUMIFS('3 Market size'!$D$5:$D$46,'3 Market size'!$A$5:$A$46,$A9,'3 Market size'!$B$5:$B$46,D$4)/52*1000</f>
        <v>153.8461538462</v>
      </c>
      <c r="E9" s="29">
        <f>SUMIFS('3 Market size'!$D$5:$D$46,'3 Market size'!$A$5:$A$46,$A9,'3 Market size'!$B$5:$B$46,E$4)/52*1000</f>
        <v>159.6153846154</v>
      </c>
      <c r="F9" s="29">
        <f>SUMIFS('3 Market size'!$D$5:$D$46,'3 Market size'!$A$5:$A$46,$A9,'3 Market size'!$B$5:$B$46,F$4)/52*1000</f>
        <v>17.3076923077</v>
      </c>
      <c r="G9" s="29">
        <f>SUMIFS('3 Market size'!$D$5:$D$46,'3 Market size'!$A$5:$A$46,$A9,'3 Market size'!$B$5:$B$46,G$4)/52*1000</f>
        <v>11.5384615385</v>
      </c>
      <c r="H9" s="29">
        <f>SUMIFS('3 Market size'!$D$5:$D$46,'3 Market size'!$A$5:$A$46,$A9,'3 Market size'!$B$5:$B$46,H$4)/52*1000</f>
        <v>13.4615384615</v>
      </c>
      <c r="I9" s="42">
        <f>SUM(B9:H9)</f>
        <v>519.2307692308</v>
      </c>
    </row>
    <row r="10">
      <c r="A10" s="6" t="inlineStr">
        <is>
          <t>Brazil</t>
        </is>
      </c>
      <c r="B10" s="29">
        <f>SUMIFS('3 Market size'!$D$5:$D$46,'3 Market size'!$A$5:$A$46,$A10,'3 Market size'!$B$5:$B$46,B$4)/212*1000</f>
        <v>42.4528301887</v>
      </c>
      <c r="C10" s="29">
        <f>SUMIFS('3 Market size'!$D$5:$D$46,'3 Market size'!$A$5:$A$46,$A10,'3 Market size'!$B$5:$B$46,C$4)/212*1000</f>
        <v>16.5094339623</v>
      </c>
      <c r="D10" s="29">
        <f>SUMIFS('3 Market size'!$D$5:$D$46,'3 Market size'!$A$5:$A$46,$A10,'3 Market size'!$B$5:$B$46,D$4)/212*1000</f>
        <v>37.7358490566</v>
      </c>
      <c r="E10" s="29">
        <f>SUMIFS('3 Market size'!$D$5:$D$46,'3 Market size'!$A$5:$A$46,$A10,'3 Market size'!$B$5:$B$46,E$4)/212*1000</f>
        <v>13.2075471698</v>
      </c>
      <c r="F10" s="29">
        <f>SUMIFS('3 Market size'!$D$5:$D$46,'3 Market size'!$A$5:$A$46,$A10,'3 Market size'!$B$5:$B$46,F$4)/212*1000</f>
        <v>2.5943396226</v>
      </c>
      <c r="G10" s="29">
        <f>SUMIFS('3 Market size'!$D$5:$D$46,'3 Market size'!$A$5:$A$46,$A10,'3 Market size'!$B$5:$B$46,G$4)/212*1000</f>
        <v>3.7735849057</v>
      </c>
      <c r="H10" s="29">
        <f>SUMIFS('3 Market size'!$D$5:$D$46,'3 Market size'!$A$5:$A$46,$A10,'3 Market size'!$B$5:$B$46,H$4)/212*1000</f>
        <v>1.8867924528</v>
      </c>
      <c r="I10" s="42">
        <f>SUM(B10:H10)</f>
        <v>118.1603773585</v>
      </c>
    </row>
    <row r="11">
      <c r="A11" s="15" t="inlineStr">
        <is>
          <t>Average</t>
        </is>
      </c>
      <c r="B11" s="43">
        <f>AVERAGE(B5:B10)</f>
        <v>152.569680882</v>
      </c>
      <c r="C11" s="43">
        <f>AVERAGE(C5:C10)</f>
        <v>91.2699852155</v>
      </c>
      <c r="D11" s="43">
        <f>AVERAGE(D5:D10)</f>
        <v>283.3649572557</v>
      </c>
      <c r="E11" s="43">
        <f>AVERAGE(E5:E10)</f>
        <v>93.4211349736</v>
      </c>
      <c r="F11" s="43">
        <f>AVERAGE(F5:F10)</f>
        <v>18.0000527582</v>
      </c>
      <c r="G11" s="43">
        <f>AVERAGE(G5:G10)</f>
        <v>16.9416872056</v>
      </c>
      <c r="H11" s="43">
        <f>AVERAGE(H5:H10)</f>
        <v>13.1299137104</v>
      </c>
      <c r="I11" s="43">
        <f>AVERAGE(I5:I10)</f>
        <v>668.697412001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46" customWidth="1" min="1" max="1"/>
    <col width="18" customWidth="1" min="2" max="2"/>
    <col width="14" customWidth="1" min="3" max="3"/>
    <col width="44" customWidth="1" min="4" max="4"/>
  </cols>
  <sheetData>
    <row r="1">
      <c r="A1" s="1" t="inlineStr">
        <is>
          <t>INDIA DEEP DIVE, the largest consumption market that cannot yet pay for itself</t>
        </is>
      </c>
    </row>
    <row r="2"/>
    <row r="3" ht="30" customHeight="1">
      <c r="A3" s="5" t="inlineStr">
        <is>
          <t>Metric</t>
        </is>
      </c>
      <c r="B3" s="5" t="inlineStr">
        <is>
          <t>Value</t>
        </is>
      </c>
      <c r="C3" s="5" t="inlineStr">
        <is>
          <t>Data quality</t>
        </is>
      </c>
      <c r="D3" s="5" t="inlineStr">
        <is>
          <t>Source / note</t>
        </is>
      </c>
    </row>
    <row r="4" ht="24" customHeight="1">
      <c r="A4" s="44" t="inlineStr">
        <is>
          <t>M&amp;E sector revenue 2025 (INR trillion)</t>
        </is>
      </c>
      <c r="B4" s="33" t="n">
        <v>2.78</v>
      </c>
      <c r="C4" s="25" t="inlineStr">
        <is>
          <t>Reported</t>
        </is>
      </c>
      <c r="D4" s="12" t="inlineStr">
        <is>
          <t>FICCI-EY Mar-2026; +9% YoY; projected INR 3.3tn by 2028</t>
        </is>
      </c>
    </row>
    <row r="5" ht="24" customHeight="1">
      <c r="A5" s="44" t="inlineStr">
        <is>
          <t>Total advertising revenue (INR bn)</t>
        </is>
      </c>
      <c r="B5" s="45" t="n">
        <v>1500</v>
      </c>
      <c r="C5" s="25" t="inlineStr">
        <is>
          <t>Reported</t>
        </is>
      </c>
      <c r="D5" s="12" t="inlineStr">
        <is>
          <t>FICCI-EY 2026; +13.5%; 0.41% of GDP</t>
        </is>
      </c>
    </row>
    <row r="6" ht="24" customHeight="1">
      <c r="A6" s="44" t="inlineStr">
        <is>
          <t>Digital advertising (INR bn)</t>
        </is>
      </c>
      <c r="B6" s="45" t="n">
        <v>947</v>
      </c>
      <c r="C6" s="25" t="inlineStr">
        <is>
          <t>Reported</t>
        </is>
      </c>
      <c r="D6" s="12" t="inlineStr">
        <is>
          <t>FICCI-EY 2026; 63% of all ad spend; +26%</t>
        </is>
      </c>
    </row>
    <row r="7" ht="24" customHeight="1">
      <c r="A7" s="44" t="inlineStr">
        <is>
          <t>Linear TV advertising (INR bn)</t>
        </is>
      </c>
      <c r="B7" s="45" t="n">
        <v>263</v>
      </c>
      <c r="C7" s="25" t="inlineStr">
        <is>
          <t>Reported</t>
        </is>
      </c>
      <c r="D7" s="12" t="inlineStr">
        <is>
          <t>FICCI-EY 2026 / Statista; -10% in 2025; advertisers down 3%</t>
        </is>
      </c>
    </row>
    <row r="8" ht="24" customHeight="1">
      <c r="A8" s="44" t="inlineStr">
        <is>
          <t>Connected TV advertising (INR bn)</t>
        </is>
      </c>
      <c r="B8" s="45" t="n">
        <v>99</v>
      </c>
      <c r="C8" s="25" t="inlineStr">
        <is>
          <t>Reported</t>
        </is>
      </c>
      <c r="D8" s="12" t="inlineStr">
        <is>
          <t>FICCI-EY 2026; +42%; CTV units 40m (from 30m)</t>
        </is>
      </c>
    </row>
    <row r="9" ht="24" customHeight="1">
      <c r="A9" s="44" t="inlineStr">
        <is>
          <t>Pay TV households change (mn)</t>
        </is>
      </c>
      <c r="B9" s="45" t="n">
        <v>-11</v>
      </c>
      <c r="C9" s="25" t="inlineStr">
        <is>
          <t>Reported</t>
        </is>
      </c>
      <c r="D9" s="12" t="inlineStr">
        <is>
          <t>FICCI-EY 2026; structural cord-shrinking, not cord-cutting</t>
        </is>
      </c>
    </row>
    <row r="10" ht="24" customHeight="1">
      <c r="A10" s="44" t="inlineStr">
        <is>
          <t>OTT users (mn)</t>
        </is>
      </c>
      <c r="B10" s="45" t="n">
        <v>601</v>
      </c>
      <c r="C10" s="25" t="inlineStr">
        <is>
          <t>Reported</t>
        </is>
      </c>
      <c r="D10" s="12" t="inlineStr">
        <is>
          <t>Ormax 2025</t>
        </is>
      </c>
    </row>
    <row r="11" ht="24" customHeight="1">
      <c r="A11" s="44" t="inlineStr">
        <is>
          <t>Paid OTT subscriptions (mn)</t>
        </is>
      </c>
      <c r="B11" s="45" t="n">
        <v>216.5</v>
      </c>
      <c r="C11" s="25" t="inlineStr">
        <is>
          <t>Reported</t>
        </is>
      </c>
      <c r="D11" s="12" t="inlineStr">
        <is>
          <t>PwC 2026-30 India perspective</t>
        </is>
      </c>
    </row>
    <row r="12" ht="24" customHeight="1">
      <c r="A12" s="44" t="inlineStr">
        <is>
          <t>OTT revenue (USD bn)</t>
        </is>
      </c>
      <c r="B12" s="33" t="n">
        <v>2.2</v>
      </c>
      <c r="C12" s="25" t="inlineStr">
        <is>
          <t>Reported</t>
        </is>
      </c>
      <c r="D12" s="12" t="inlineStr">
        <is>
          <t>PwC India 2026; to USD 3.6bn by 2030 at 10.2% CAGR</t>
        </is>
      </c>
    </row>
    <row r="13" ht="24" customHeight="1">
      <c r="A13" s="44" t="inlineStr">
        <is>
          <t>OTT ARPU (USD per subscription per year)</t>
        </is>
      </c>
      <c r="B13" s="33" t="n">
        <v>7.3</v>
      </c>
      <c r="C13" s="25" t="inlineStr">
        <is>
          <t>Reported</t>
        </is>
      </c>
      <c r="D13" s="12" t="inlineStr">
        <is>
          <t>PwC India 2026, the number that defines the market</t>
        </is>
      </c>
    </row>
    <row r="14" ht="24" customHeight="1">
      <c r="A14" s="44" t="inlineStr">
        <is>
          <t>Smartphone screen time 2025 (trillion hours)</t>
        </is>
      </c>
      <c r="B14" s="33" t="n">
        <v>1.23</v>
      </c>
      <c r="C14" s="25" t="inlineStr">
        <is>
          <t>Reported</t>
        </is>
      </c>
      <c r="D14" s="12" t="inlineStr">
        <is>
          <t>FICCI-EY 2026; 59% of it is M&amp;E consumption</t>
        </is>
      </c>
    </row>
    <row r="15" ht="24" customHeight="1">
      <c r="A15" s="44" t="inlineStr">
        <is>
          <t>Digital ad spend per capita (USD)</t>
        </is>
      </c>
      <c r="B15" s="45" t="n">
        <v>8</v>
      </c>
      <c r="C15" s="25" t="inlineStr">
        <is>
          <t>Reported</t>
        </is>
      </c>
      <c r="D15" s="12" t="inlineStr">
        <is>
          <t>Redseer Apr-2026; US ~$1,000, China ~$120</t>
        </is>
      </c>
    </row>
    <row r="16" ht="24" customHeight="1">
      <c r="A16" s="44" t="inlineStr">
        <is>
          <t>Screen economy per capita (USD)</t>
        </is>
      </c>
      <c r="B16" s="33" t="n">
        <v>8.4</v>
      </c>
      <c r="C16" s="25" t="inlineStr">
        <is>
          <t>Reported</t>
        </is>
      </c>
      <c r="D16" s="12" t="inlineStr">
        <is>
          <t>MPA Oct-2026; Japan $283, Korea $253, US $889</t>
        </is>
      </c>
    </row>
    <row r="17" ht="24" customHeight="1">
      <c r="A17" s="44" t="inlineStr">
        <is>
          <t>Content investment (USD bn)</t>
        </is>
      </c>
      <c r="B17" s="33" t="n">
        <v>5</v>
      </c>
      <c r="C17" s="25" t="inlineStr">
        <is>
          <t>Reported</t>
        </is>
      </c>
      <c r="D17" s="12" t="inlineStr">
        <is>
          <t>MPA; online-video investment USD 2.6bn has overtaken TV</t>
        </is>
      </c>
    </row>
    <row r="18" ht="24" customHeight="1">
      <c r="A18" s="44" t="inlineStr">
        <is>
          <t>Video games market ex-RMG (USD bn)</t>
        </is>
      </c>
      <c r="B18" s="33" t="n">
        <v>1.5</v>
      </c>
      <c r="C18" s="25" t="inlineStr">
        <is>
          <t>Reported</t>
        </is>
      </c>
      <c r="D18" s="12" t="inlineStr">
        <is>
          <t>Lumikai Mar-2026; +17%; Niko Partners estimates USD 1.04bn</t>
        </is>
      </c>
    </row>
    <row r="19" ht="24" customHeight="1">
      <c r="A19" s="44" t="inlineStr">
        <is>
          <t>Gamers (mn)</t>
        </is>
      </c>
      <c r="B19" s="45" t="n">
        <v>555</v>
      </c>
      <c r="C19" s="25" t="inlineStr">
        <is>
          <t>Reported</t>
        </is>
      </c>
      <c r="D19" s="12" t="inlineStr">
        <is>
          <t>Lumikai; down from 609m after the real-money gaming ban</t>
        </is>
      </c>
    </row>
    <row r="20" ht="24" customHeight="1">
      <c r="A20" s="44" t="inlineStr">
        <is>
          <t>Real-money gaming status</t>
        </is>
      </c>
      <c r="B20" s="45" t="n">
        <v>0</v>
      </c>
      <c r="C20" s="25" t="inlineStr">
        <is>
          <t>Reported</t>
        </is>
      </c>
      <c r="D20" s="12" t="inlineStr">
        <is>
          <t>Banned from 22-Aug-2025 (Online Gaming Act 2025); was ~83% of segment revenue</t>
        </is>
      </c>
    </row>
    <row r="21" ht="24" customHeight="1">
      <c r="A21" s="44" t="inlineStr">
        <is>
          <t>Filmed entertainment (INR bn)</t>
        </is>
      </c>
      <c r="B21" s="45" t="n">
        <v>205</v>
      </c>
      <c r="C21" s="25" t="inlineStr">
        <is>
          <t>Reported</t>
        </is>
      </c>
      <c r="D21" s="12" t="inlineStr">
        <is>
          <t>FICCI-EY 2026; record year, +14-16% theatrical on higher ticket prices</t>
        </is>
      </c>
    </row>
    <row r="22" ht="24" customHeight="1">
      <c r="A22" s="44" t="inlineStr">
        <is>
          <t>Digital rights values change (%)</t>
        </is>
      </c>
      <c r="B22" s="45" t="n">
        <v>-8</v>
      </c>
      <c r="C22" s="25" t="inlineStr">
        <is>
          <t>Reported</t>
        </is>
      </c>
      <c r="D22" s="12" t="inlineStr">
        <is>
          <t>FICCI-EY 2026; satellite rights -10%, the windowing system broke</t>
        </is>
      </c>
    </row>
    <row r="23" ht="24" customHeight="1">
      <c r="A23" s="44" t="inlineStr">
        <is>
          <t>Organised live events (USD bn)</t>
        </is>
      </c>
      <c r="B23" s="33" t="n">
        <v>1.55</v>
      </c>
      <c r="C23" s="25" t="inlineStr">
        <is>
          <t>Reported</t>
        </is>
      </c>
      <c r="D23" s="12" t="inlineStr">
        <is>
          <t>FICCI-EY 2026; +44%; concert days to rise 130 -&gt; 200+ by 2028</t>
        </is>
      </c>
    </row>
    <row r="24" ht="24" customHeight="1">
      <c r="A24" s="44" t="inlineStr">
        <is>
          <t>Regional share of OTT consumption (%)</t>
        </is>
      </c>
      <c r="B24" s="45" t="n">
        <v>56</v>
      </c>
      <c r="C24" s="25" t="inlineStr">
        <is>
          <t>Reported</t>
        </is>
      </c>
      <c r="D24" s="12" t="inlineStr">
        <is>
          <t>FICCI-EY 2026; up from 27% in 2020</t>
        </is>
      </c>
    </row>
    <row r="25" ht="24" customHeight="1">
      <c r="A25" s="44" t="inlineStr">
        <is>
          <t>Music revenue growth (%)</t>
        </is>
      </c>
      <c r="B25" s="45" t="n">
        <v>10</v>
      </c>
      <c r="C25" s="25" t="inlineStr">
        <is>
          <t>Reported</t>
        </is>
      </c>
      <c r="D25" s="12" t="inlineStr">
        <is>
          <t>FICCI-EY 2026; digital licensing only +2% (declining YouTube returns)</t>
        </is>
      </c>
    </row>
    <row r="26" ht="24" customHeight="1">
      <c r="A26" s="44" t="inlineStr">
        <is>
          <t>Radio revenue growth (%)</t>
        </is>
      </c>
      <c r="B26" s="45" t="n">
        <v>-7</v>
      </c>
      <c r="C26" s="25" t="inlineStr">
        <is>
          <t>Reported</t>
        </is>
      </c>
      <c r="D26" s="12" t="inlineStr">
        <is>
          <t>FICCI-EY 2026; FM receivers disappearing from phones and cars</t>
        </is>
      </c>
    </row>
    <row r="27" ht="24" customHeight="1">
      <c r="A27" s="44" t="inlineStr">
        <is>
          <t>Paid music subscriptions (mn)</t>
        </is>
      </c>
      <c r="B27" s="33" t="n">
        <v>14.4</v>
      </c>
      <c r="C27" s="25" t="inlineStr">
        <is>
          <t>Reported</t>
        </is>
      </c>
      <c r="D27" s="12" t="inlineStr">
        <is>
          <t>FICCI-EY 2026; against 5.98 trillion music streams in 2025</t>
        </is>
      </c>
    </row>
    <row r="28" ht="24" customHeight="1">
      <c r="A28" s="44" t="inlineStr">
        <is>
          <t>News subscriptions (mn)</t>
        </is>
      </c>
      <c r="B28" s="45" t="n">
        <v>4</v>
      </c>
      <c r="C28" s="25" t="inlineStr">
        <is>
          <t>Reported</t>
        </is>
      </c>
      <c r="D28" s="12" t="inlineStr">
        <is>
          <t>FICCI-EY 2026; less than 3% of print revenue</t>
        </is>
      </c>
    </row>
    <row r="29"/>
    <row r="30">
      <c r="A30" s="46" t="inlineStr">
        <is>
          <t>THE THREE SENTENCES THAT MATTER</t>
        </is>
      </c>
    </row>
    <row r="31" ht="28" customHeight="1">
      <c r="A31" s="16" t="inlineStr">
        <is>
          <t>1. India consumes like a rich country and pays like a poor one: 1.23 trillion hours of smartphone screen time a year, earning the industry USD 8.4 per person.</t>
        </is>
      </c>
      <c r="B31" s="47" t="n"/>
      <c r="C31" s="47" t="n"/>
      <c r="D31" s="48" t="n"/>
    </row>
    <row r="32" ht="28" customHeight="1">
      <c r="A32" s="16" t="inlineStr">
        <is>
          <t>2. The paying base is not the problem, 216.5m OTT subscriptions, 3rd largest in the world. The price is: USD 7.3 per subscription per year.</t>
        </is>
      </c>
      <c r="B32" s="47" t="n"/>
      <c r="C32" s="47" t="n"/>
      <c r="D32" s="48" t="n"/>
    </row>
    <row r="33" ht="28" customHeight="1">
      <c r="A33" s="16" t="inlineStr">
        <is>
          <t>3. Which means every rupee of growth must come from ARPU, advertising yield or new formats (CTV, live, gaming), not from adding more users, because the users are already here.</t>
        </is>
      </c>
      <c r="B33" s="47" t="n"/>
      <c r="C33" s="47" t="n"/>
      <c r="D33" s="48" t="n"/>
    </row>
  </sheetData>
  <mergeCells count="3">
    <mergeCell ref="A32:D32"/>
    <mergeCell ref="A31:D31"/>
    <mergeCell ref="A33:D3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 customWidth="1" min="1" max="1"/>
    <col width="52" customWidth="1" min="2" max="2"/>
    <col width="58" customWidth="1" min="3" max="3"/>
    <col width="40" customWidth="1" min="4" max="4"/>
    <col width="12" customWidth="1" min="5" max="5"/>
  </cols>
  <sheetData>
    <row r="1">
      <c r="A1" s="1" t="inlineStr">
        <is>
          <t>FINDINGS, the argument this workbook exists to support</t>
        </is>
      </c>
    </row>
    <row r="2"/>
    <row r="3" ht="30" customHeight="1">
      <c r="A3" s="5" t="inlineStr">
        <is>
          <t>#</t>
        </is>
      </c>
      <c r="B3" s="5" t="inlineStr">
        <is>
          <t>Finding</t>
        </is>
      </c>
      <c r="C3" s="5" t="inlineStr">
        <is>
          <t>Evidence</t>
        </is>
      </c>
      <c r="D3" s="5" t="inlineStr">
        <is>
          <t>So what for a client</t>
        </is>
      </c>
      <c r="E3" s="5" t="inlineStr">
        <is>
          <t>Confidence</t>
        </is>
      </c>
    </row>
    <row r="4" ht="74" customHeight="1">
      <c r="A4" s="49" t="n">
        <v>1</v>
      </c>
      <c r="B4" s="50" t="inlineStr">
        <is>
          <t>Attention is global; money is local.</t>
        </is>
      </c>
      <c r="C4" s="12" t="inlineStr">
        <is>
          <t>India: 1.23tn hours of smartphone screen time a year, 59% of it M&amp;E. But USD 8.4 of screen revenue per head vs USD 889 in the US, a ~106x gap, against a ~11x GDP per-capita gap.</t>
        </is>
      </c>
      <c r="D4" s="12" t="inlineStr">
        <is>
          <t>Judge an Indian media business on revenue per hour of attention, not on reach. Reach is free; yield is the business.</t>
        </is>
      </c>
      <c r="E4" s="25" t="inlineStr">
        <is>
          <t>High</t>
        </is>
      </c>
    </row>
    <row r="5" ht="74" customHeight="1">
      <c r="A5" s="49" t="n">
        <v>2</v>
      </c>
      <c r="B5" s="50" t="inlineStr">
        <is>
          <t>The paying base is already built. The price is not.</t>
        </is>
      </c>
      <c r="C5" s="12" t="inlineStr">
        <is>
          <t>India has 216.5m paid OTT subscriptions, 3rd largest in the world, at USD 7.3 per subscription per year. The US OTT market is 51x larger in revenue on a base only ~13% larger.</t>
        </is>
      </c>
      <c r="D5" s="12" t="inlineStr">
        <is>
          <t>Stop funding user acquisition as the primary growth lever. ARPU, advertising yield and bundling are the levers left.</t>
        </is>
      </c>
      <c r="E5" s="25" t="inlineStr">
        <is>
          <t>High</t>
        </is>
      </c>
    </row>
    <row r="6" ht="74" customHeight="1">
      <c r="A6" s="49" t="n">
        <v>3</v>
      </c>
      <c r="B6" s="50" t="inlineStr">
        <is>
          <t>Consumption is migrating, not growing.</t>
        </is>
      </c>
      <c r="C6" s="12" t="inlineStr">
        <is>
          <t>UK total in-home video fell 7 minutes in 2025 while linear fell 14 minutes and BVoD rose 3. US total TV time is flat at ~3.7h/day but streaming passed broadcast + cable for the first time (47.3%).</t>
        </is>
      </c>
      <c r="D6" s="12" t="inlineStr">
        <is>
          <t>Advertisers are not leaving the screen; they are leaving the schedule. CTV inventory is the defended position, not the GRP.</t>
        </is>
      </c>
      <c r="E6" s="25" t="inlineStr">
        <is>
          <t>High</t>
        </is>
      </c>
    </row>
    <row r="7" ht="74" customHeight="1">
      <c r="A7" s="49" t="n">
        <v>4</v>
      </c>
      <c r="B7" s="50" t="inlineStr">
        <is>
          <t>Where time AND money both grow: gaming and live.</t>
        </is>
      </c>
      <c r="C7" s="12" t="inlineStr">
        <is>
          <t>Global games USD 188.8bn (+3.4%), with Japan (USD 17.6bn) and Korea (USD 8.3bn) monetising far above their population weight. Live music ~USD 35bn globally; India's organised live events +44% in a single year.</t>
        </is>
      </c>
      <c r="D7" s="12" t="inlineStr">
        <is>
          <t>These are the only formats where the two lines move together. They also have no content-amortisation drag relative to video.</t>
        </is>
      </c>
      <c r="E7" s="28" t="inlineStr">
        <is>
          <t>Medium-High</t>
        </is>
      </c>
    </row>
    <row r="8" ht="74" customHeight="1">
      <c r="A8" s="49" t="n">
        <v>5</v>
      </c>
      <c r="B8" s="50" t="inlineStr">
        <is>
          <t>Format choice is national character, not universal law.</t>
        </is>
      </c>
      <c r="C8" s="12" t="inlineStr">
        <is>
          <t>Japan: lowest social-media time of any major market (~50 min/day) and TV still the dominant medium (3h37m). Brazil: highest social time in the world (3h49m). Korea: gaming is the largest single format in the country.</t>
        </is>
      </c>
      <c r="D8" s="12" t="inlineStr">
        <is>
          <t>There is no 'global consumer'. Benchmarking a market against a global average hides the only thing that matters: its local format mix.</t>
        </is>
      </c>
      <c r="E8" s="25" t="inlineStr">
        <is>
          <t>High</t>
        </is>
      </c>
    </row>
    <row r="9"/>
    <row r="10">
      <c r="A10" s="15" t="inlineStr">
        <is>
          <t>Rule</t>
        </is>
      </c>
      <c r="B10" s="16" t="inlineStr">
        <is>
          <t>A finding with no number, no source and no implication is an opinion, not a finding.</t>
        </is>
      </c>
      <c r="C10" s="47" t="n"/>
      <c r="D10" s="47" t="n"/>
      <c r="E10" s="48" t="n"/>
    </row>
  </sheetData>
  <mergeCells count="1">
    <mergeCell ref="B10:E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7" customWidth="1" min="1" max="1"/>
    <col width="46" customWidth="1" min="2" max="2"/>
    <col width="16" customWidth="1" min="3" max="3"/>
    <col width="18" customWidth="1" min="4" max="4"/>
    <col width="52" customWidth="1" min="5" max="5"/>
    <col width="62" customWidth="1" min="6" max="6"/>
  </cols>
  <sheetData>
    <row r="1">
      <c r="A1" s="1" t="inlineStr">
        <is>
          <t>SOURCE REGISTER, every figure in this workbook traces back to one of these</t>
        </is>
      </c>
    </row>
    <row r="2"/>
    <row r="3" ht="30" customHeight="1">
      <c r="A3" s="5" t="inlineStr">
        <is>
          <t>ID</t>
        </is>
      </c>
      <c r="B3" s="5" t="inlineStr">
        <is>
          <t>Source</t>
        </is>
      </c>
      <c r="C3" s="5" t="inlineStr">
        <is>
          <t>Publisher</t>
        </is>
      </c>
      <c r="D3" s="5" t="inlineStr">
        <is>
          <t>Date</t>
        </is>
      </c>
      <c r="E3" s="5" t="inlineStr">
        <is>
          <t>Link</t>
        </is>
      </c>
      <c r="F3" s="5" t="inlineStr">
        <is>
          <t>What to pull from it</t>
        </is>
      </c>
    </row>
    <row r="4" ht="40" customHeight="1">
      <c r="A4" s="49" t="inlineStr">
        <is>
          <t>S1</t>
        </is>
      </c>
      <c r="B4" s="44" t="inlineStr">
        <is>
          <t>Ofcom, Media Nations UK 2025 &amp; 2026</t>
        </is>
      </c>
      <c r="C4" s="26" t="inlineStr">
        <is>
          <t>Ofcom</t>
        </is>
      </c>
      <c r="D4" s="26" t="inlineStr">
        <is>
          <t>Jul-2025 / Jul-2026</t>
        </is>
      </c>
      <c r="E4" s="51" t="inlineStr">
        <is>
          <t>https://www.ofcom.org.uk/siteassets/resources/documents/research-and-data/multi-sector/media-nations/2026/media-nations-2026-uk-report.pdf</t>
        </is>
      </c>
      <c r="F4" s="12" t="inlineStr">
        <is>
          <t>UK: 4h23m daily in-home video (2025); linear 1h51m (-12%); BVoD 28 min; VSP/YouTube 51 min</t>
        </is>
      </c>
    </row>
    <row r="5" ht="40" customHeight="1">
      <c r="A5" s="49" t="inlineStr">
        <is>
          <t>S2</t>
        </is>
      </c>
      <c r="B5" s="44" t="inlineStr">
        <is>
          <t>Nielsen, The Gauge (US)</t>
        </is>
      </c>
      <c r="C5" s="26" t="inlineStr">
        <is>
          <t>Nielsen</t>
        </is>
      </c>
      <c r="D5" s="26" t="inlineStr">
        <is>
          <t>2025</t>
        </is>
      </c>
      <c r="E5" s="51" t="inlineStr">
        <is>
          <t>https://www.nielsen.com/data-center/the-gauge/</t>
        </is>
      </c>
      <c r="F5" s="12" t="inlineStr">
        <is>
          <t>US: 3.7h daily TV time; streaming share 47.3% (Jul-2025); first time streaming &gt; broadcast+cable</t>
        </is>
      </c>
    </row>
    <row r="6" ht="40" customHeight="1">
      <c r="A6" s="49" t="inlineStr">
        <is>
          <t>S3</t>
        </is>
      </c>
      <c r="B6" s="44" t="inlineStr">
        <is>
          <t>eMarketer, Asia-Pacific Time Spent With Media 2025</t>
        </is>
      </c>
      <c r="C6" s="26" t="inlineStr">
        <is>
          <t>eMarketer</t>
        </is>
      </c>
      <c r="D6" s="26" t="inlineStr">
        <is>
          <t>Jul-2025</t>
        </is>
      </c>
      <c r="E6" s="51" t="inlineStr">
        <is>
          <t>https://www.emarketer.com/content/asia-pacific-time-spent-with-media-2025</t>
        </is>
      </c>
      <c r="F6" s="12" t="inlineStr">
        <is>
          <t>Japan TV 3h37m/day; South Korea TV 3h19m/day; digital video below TV in both</t>
        </is>
      </c>
    </row>
    <row r="7" ht="40" customHeight="1">
      <c r="A7" s="49" t="inlineStr">
        <is>
          <t>S4</t>
        </is>
      </c>
      <c r="B7" s="44" t="inlineStr">
        <is>
          <t>DataReportal / We Are Social / Meltwater, Digital 2025</t>
        </is>
      </c>
      <c r="C7" s="26" t="inlineStr">
        <is>
          <t>DataReportal</t>
        </is>
      </c>
      <c r="D7" s="26" t="inlineStr">
        <is>
          <t>Feb-2025</t>
        </is>
      </c>
      <c r="E7" s="51" t="inlineStr">
        <is>
          <t>https://datareportal.com/reports/digital-2025-global-overview-report</t>
        </is>
      </c>
      <c r="F7" s="12" t="inlineStr">
        <is>
          <t>Daily internet &amp; social media time by country; social: Brazil 3h49m, US 2h16m, UK 1h37m, Japan ~50m, Korea ~70m</t>
        </is>
      </c>
    </row>
    <row r="8" ht="40" customHeight="1">
      <c r="A8" s="49" t="inlineStr">
        <is>
          <t>S5</t>
        </is>
      </c>
      <c r="B8" s="44" t="inlineStr">
        <is>
          <t>EY-FICCI, Stories, Scale and Impact (India M&amp;E 2026)</t>
        </is>
      </c>
      <c r="C8" s="26" t="inlineStr">
        <is>
          <t>FICCI-EY</t>
        </is>
      </c>
      <c r="D8" s="26" t="inlineStr">
        <is>
          <t>Mar-2026</t>
        </is>
      </c>
      <c r="E8" s="51" t="inlineStr">
        <is>
          <t>https://www.ey.com/en_in/insights/media-entertainment/stories-scale-and-impact-unlocking-india-s-m-e-economy</t>
        </is>
      </c>
      <c r="F8" s="12" t="inlineStr">
        <is>
          <t>India M&amp;E INR 2.78tn in 2025 (+9%); digital ad INR 947bn (63% of ad spend); live events +44%; CTV ad INR 99bn (+42%)</t>
        </is>
      </c>
    </row>
    <row r="9" ht="40" customHeight="1">
      <c r="A9" s="49" t="inlineStr">
        <is>
          <t>S6</t>
        </is>
      </c>
      <c r="B9" s="44" t="inlineStr">
        <is>
          <t>Newzoo, Global Games Market Report 2025</t>
        </is>
      </c>
      <c r="C9" s="26" t="inlineStr">
        <is>
          <t>Newzoo</t>
        </is>
      </c>
      <c r="D9" s="26" t="inlineStr">
        <is>
          <t>Sep-2025</t>
        </is>
      </c>
      <c r="E9" s="51" t="inlineStr">
        <is>
          <t>https://newzoo.com/resources/blog/global-games-market-to-hit-189-billion-in-2025</t>
        </is>
      </c>
      <c r="F9" s="12" t="inlineStr">
        <is>
          <t>Global games $188.8bn (+3.4%); China $49.8bn; US $49.6bn; Japan $17.6bn; Korea $8.3bn; UK $6.8bn; Brazil $2.8bn</t>
        </is>
      </c>
    </row>
    <row r="10" ht="40" customHeight="1">
      <c r="A10" s="49" t="inlineStr">
        <is>
          <t>S7</t>
        </is>
      </c>
      <c r="B10" s="44" t="inlineStr">
        <is>
          <t>Niko Partners, India games market</t>
        </is>
      </c>
      <c r="C10" s="26" t="inlineStr">
        <is>
          <t>Niko Partners</t>
        </is>
      </c>
      <c r="D10" s="26" t="inlineStr">
        <is>
          <t>Aug-2026</t>
        </is>
      </c>
      <c r="E10" s="51" t="inlineStr">
        <is>
          <t>https://nikopartners.com/indias-gaming-market-surpasses-1-billion-for-the-first-time-driven-by-mobile-growth-and-changing-player-behavior/</t>
        </is>
      </c>
      <c r="F10" s="12" t="inlineStr">
        <is>
          <t>India games &gt;$1bn for first time ($1.04bn, +14.8%); 511m players; ARPU $2.04</t>
        </is>
      </c>
    </row>
    <row r="11" ht="40" customHeight="1">
      <c r="A11" s="49" t="inlineStr">
        <is>
          <t>S8</t>
        </is>
      </c>
      <c r="B11" s="44" t="inlineStr">
        <is>
          <t>Lumikai, State of India Interactive Media 2025</t>
        </is>
      </c>
      <c r="C11" s="26" t="inlineStr">
        <is>
          <t>Lumikai</t>
        </is>
      </c>
      <c r="D11" s="26" t="inlineStr">
        <is>
          <t>Mar-2026</t>
        </is>
      </c>
      <c r="E11" s="51" t="inlineStr">
        <is>
          <t>https://respawn.outlookindia.com/gaming/gaming-news/lumikai-india-gaming-market-1-5-billion-rmg-ban-2025</t>
        </is>
      </c>
      <c r="F11" s="12" t="inlineStr">
        <is>
          <t>India video games (ex-RMG) $1.5bn (+17%); gamer base 609m -&gt; 555m (-9%); payer conversion 25%</t>
        </is>
      </c>
    </row>
    <row r="12" ht="40" customHeight="1">
      <c r="A12" s="49" t="inlineStr">
        <is>
          <t>S9</t>
        </is>
      </c>
      <c r="B12" s="44" t="inlineStr">
        <is>
          <t>IFPI, Global Music Report 2026</t>
        </is>
      </c>
      <c r="C12" s="26" t="inlineStr">
        <is>
          <t>IFPI</t>
        </is>
      </c>
      <c r="D12" s="26" t="inlineStr">
        <is>
          <t>Mar-2026</t>
        </is>
      </c>
      <c r="E12" s="51" t="inlineStr">
        <is>
          <t>https://www.musicbusinessworldwide.com/global-recorded-music-revenues-hit-31-7bn-in-2025-up-6-4-yoy-users-of-paid-music-subscriptions-reach-837m/</t>
        </is>
      </c>
      <c r="F12" s="12" t="inlineStr">
        <is>
          <t>Global recorded music $31.7bn (+6.4%); US 38.7% share; ranks: US, Japan, UK, China, Germany, France, Korea, Brazil</t>
        </is>
      </c>
    </row>
    <row r="13" ht="40" customHeight="1">
      <c r="A13" s="49" t="inlineStr">
        <is>
          <t>S10</t>
        </is>
      </c>
      <c r="B13" s="44" t="inlineStr">
        <is>
          <t>Gower Street Analytics / Comscore / FDA, worldwide box office 2025</t>
        </is>
      </c>
      <c r="C13" s="26" t="inlineStr">
        <is>
          <t>Gower Street</t>
        </is>
      </c>
      <c r="D13" s="26" t="inlineStr">
        <is>
          <t>Jan-Apr 2026</t>
        </is>
      </c>
      <c r="E13" s="51" t="inlineStr">
        <is>
          <t>https://filmdistributorsassociation.com/the-industry/databank/worldwide-box-office/top-10-territories/</t>
        </is>
      </c>
      <c r="F13" s="12" t="inlineStr">
        <is>
          <t>Global box office $33.55bn (+12%); US $8.9bn; China $7.4bn; Japan $1.8bn (record); India $1.5bn; UK&amp;I $1.5bn; Korea $0.7bn</t>
        </is>
      </c>
    </row>
    <row r="14" ht="40" customHeight="1">
      <c r="A14" s="49" t="inlineStr">
        <is>
          <t>S11</t>
        </is>
      </c>
      <c r="B14" s="44" t="inlineStr">
        <is>
          <t>PwC, Global Entertainment &amp; Media Outlook (2025-29, 2026-30)</t>
        </is>
      </c>
      <c r="C14" s="26" t="inlineStr">
        <is>
          <t>PwC</t>
        </is>
      </c>
      <c r="D14" s="26" t="inlineStr">
        <is>
          <t>Jul-2025 / Aug-2026</t>
        </is>
      </c>
      <c r="E14" s="51" t="inlineStr">
        <is>
          <t>https://www.pwc.com/us/en/industries/tmt/library/global-entertainment-media-outlook.html</t>
        </is>
      </c>
      <c r="F14" s="12" t="inlineStr">
        <is>
          <t>Global E&amp;M $2.9tn (2024) -&gt; $3.5tn (2029) -&gt; $4.2tn (2030); US OTT video $113.3bn (2025); US internet ad $419.7bn by 2030</t>
        </is>
      </c>
    </row>
    <row r="15" ht="40" customHeight="1">
      <c r="A15" s="49" t="inlineStr">
        <is>
          <t>S12</t>
        </is>
      </c>
      <c r="B15" s="44" t="inlineStr">
        <is>
          <t>PwC, India Entertainment &amp; Media Outlook 2026-30</t>
        </is>
      </c>
      <c r="C15" s="26" t="inlineStr">
        <is>
          <t>PwC India</t>
        </is>
      </c>
      <c r="D15" s="26" t="inlineStr">
        <is>
          <t>Aug-2026</t>
        </is>
      </c>
      <c r="E15" s="51" t="inlineStr">
        <is>
          <t>https://www.pwc.in/pwc-global-entertainment-and-media-outlook-2026-2030-india-perspective.html</t>
        </is>
      </c>
      <c r="F15" s="12" t="inlineStr">
        <is>
          <t>India E&amp;M $25.7bn (2025) -&gt; $36.7bn (2030); India OTT $2.2bn; 216.5m OTT subs; ARPU only $7.3/sub/year</t>
        </is>
      </c>
    </row>
    <row r="16" ht="40" customHeight="1">
      <c r="A16" s="49" t="inlineStr">
        <is>
          <t>S13</t>
        </is>
      </c>
      <c r="B16" s="44" t="inlineStr">
        <is>
          <t>Media Partners Asia, screen economy by country</t>
        </is>
      </c>
      <c r="C16" s="26" t="inlineStr">
        <is>
          <t>MPA via exchange4media</t>
        </is>
      </c>
      <c r="D16" s="26" t="inlineStr">
        <is>
          <t>Oct-2026</t>
        </is>
      </c>
      <c r="E16" s="51" t="inlineStr">
        <is>
          <t>https://www.exchange4media.com/digital-news/india-has-the-audience-but-is-the-monetisation-catching-up-158860.html</t>
        </is>
      </c>
      <c r="F16" s="12" t="inlineStr">
        <is>
          <t>Per capita screen economy: US $889, Japan $283, Korea $253, China $63, India $8.4. India content investment ~$5bn</t>
        </is>
      </c>
    </row>
    <row r="17" ht="40" customHeight="1">
      <c r="A17" s="49" t="inlineStr">
        <is>
          <t>S14</t>
        </is>
      </c>
      <c r="B17" s="44" t="inlineStr">
        <is>
          <t>Redseer, India advertising report</t>
        </is>
      </c>
      <c r="C17" s="26" t="inlineStr">
        <is>
          <t>Redseer</t>
        </is>
      </c>
      <c r="D17" s="26" t="inlineStr">
        <is>
          <t>Apr-2026</t>
        </is>
      </c>
      <c r="E17" s="51" t="inlineStr">
        <is>
          <t>https://www.bwmarketingworld.com/article/india-holds-1-of-global-ad-spend-emerges-as-fastest-growing-market-redseer-602769</t>
        </is>
      </c>
      <c r="F17" s="12" t="inlineStr">
        <is>
          <t>India digital ad spend ~$8 per capita vs US ~$1,000 and China ~$120; India ~1% of global ad spend</t>
        </is>
      </c>
    </row>
    <row r="18" ht="40" customHeight="1">
      <c r="A18" s="49" t="inlineStr">
        <is>
          <t>S15</t>
        </is>
      </c>
      <c r="B18" s="44" t="inlineStr">
        <is>
          <t>Pollstar 2025 Year-End + live music market estimates</t>
        </is>
      </c>
      <c r="C18" s="26" t="inlineStr">
        <is>
          <t>Pollstar</t>
        </is>
      </c>
      <c r="D18" s="26" t="inlineStr">
        <is>
          <t>Dec-2025</t>
        </is>
      </c>
      <c r="E18" s="51" t="inlineStr">
        <is>
          <t>https://news.pollstar.com/2025/12/23/year-end-business-analysis-a-return-to-earth-2025-grosses-ticket-sales-drop-averages-increase-beyonce-oasis-coldplay-have-top-tours-venues-stadiums-rock/</t>
        </is>
      </c>
      <c r="F18" s="12" t="inlineStr">
        <is>
          <t>Top 100 touring artists averaged $2.5m per show (+9.2%); stadium average gross $7.11m; US live music ~$12.6bn</t>
        </is>
      </c>
    </row>
    <row r="19" ht="40" customHeight="1">
      <c r="A19" s="49" t="inlineStr">
        <is>
          <t>S16</t>
        </is>
      </c>
      <c r="B19" s="44" t="inlineStr">
        <is>
          <t>Ormax / Economic Times, India OTT audience</t>
        </is>
      </c>
      <c r="C19" s="26" t="inlineStr">
        <is>
          <t>Ormax</t>
        </is>
      </c>
      <c r="D19" s="26" t="inlineStr">
        <is>
          <t>2025</t>
        </is>
      </c>
      <c r="E19" s="51" t="inlineStr">
        <is>
          <t>https://brandequity.economictimes.indiatimes.com/</t>
        </is>
      </c>
      <c r="F19" s="12" t="inlineStr">
        <is>
          <t>India 601m OTT users; 148m paid subscriptions; CTV 129.2m users (+87%); OTT watch time ~70 min/day</t>
        </is>
      </c>
    </row>
    <row r="20" ht="40" customHeight="1">
      <c r="A20" s="49" t="inlineStr">
        <is>
          <t>S17</t>
        </is>
      </c>
      <c r="B20" s="44" t="inlineStr">
        <is>
          <t>Axis My India, Consumer Sentiment Index (media time)</t>
        </is>
      </c>
      <c r="C20" s="26" t="inlineStr">
        <is>
          <t>Axis My India</t>
        </is>
      </c>
      <c r="D20" s="26" t="inlineStr">
        <is>
          <t>2023-2025</t>
        </is>
      </c>
      <c r="E20" s="51" t="inlineStr">
        <is>
          <t>https://brandequity.economictimes.indiatimes.com/news/research/consumers-spent-59-more-time-on-digital-as-compared-to-tv-axis-my-india-survey/91936004</t>
        </is>
      </c>
      <c r="F20" s="12" t="inlineStr">
        <is>
          <t>India self-reported: TV ~65 min/day, digital ~105 min/day (note: differs from meter-based measurement)</t>
        </is>
      </c>
    </row>
    <row r="21" ht="40" customHeight="1">
      <c r="A21" s="49" t="inlineStr">
        <is>
          <t>S18</t>
        </is>
      </c>
      <c r="B21" s="44" t="inlineStr">
        <is>
          <t>World Bank / IMF, GDP per capita 2025</t>
        </is>
      </c>
      <c r="C21" s="26" t="inlineStr">
        <is>
          <t>World Bank</t>
        </is>
      </c>
      <c r="D21" s="26" t="inlineStr">
        <is>
          <t>2025</t>
        </is>
      </c>
      <c r="E21" s="51" t="inlineStr">
        <is>
          <t>https://data.worldbank.org/indicator/NY.GDP.PCAP.CD</t>
        </is>
      </c>
      <c r="F21" s="12" t="inlineStr">
        <is>
          <t>India $2,703; China $13,862; Japan $35,951; US $90,027</t>
        </is>
      </c>
    </row>
    <row r="22" ht="40" customHeight="1">
      <c r="A22" s="49" t="inlineStr">
        <is>
          <t>S19</t>
        </is>
      </c>
      <c r="B22" s="44" t="inlineStr">
        <is>
          <t>IBEF, Media &amp; Entertainment India</t>
        </is>
      </c>
      <c r="C22" s="26" t="inlineStr">
        <is>
          <t>IBEF</t>
        </is>
      </c>
      <c r="D22" s="26" t="inlineStr">
        <is>
          <t>Jul-2025</t>
        </is>
      </c>
      <c r="E22" s="51" t="inlineStr">
        <is>
          <t>https://www.ibef.org/industry/media-entertainment-india</t>
        </is>
      </c>
      <c r="F22" s="12" t="inlineStr">
        <is>
          <t>India: 1,900+ films in 2025; ~200,000 hours of content; short-form video 55-60 min/day</t>
        </is>
      </c>
    </row>
    <row r="23" ht="40" customHeight="1">
      <c r="A23" s="49" t="inlineStr">
        <is>
          <t>S20</t>
        </is>
      </c>
      <c r="B23" s="44" t="inlineStr">
        <is>
          <t>The Drum, global media consumption study</t>
        </is>
      </c>
      <c r="C23" s="26" t="inlineStr">
        <is>
          <t>The Drum</t>
        </is>
      </c>
      <c r="D23" s="26" t="inlineStr">
        <is>
          <t>Mar-2026</t>
        </is>
      </c>
      <c r="E23" s="51" t="inlineStr">
        <is>
          <t>https://www.thedrum.com/news/despite-predicted-downturn-global-media-consumption-grew-yet-again-in-2025</t>
        </is>
      </c>
      <c r="F23" s="12" t="inlineStr">
        <is>
          <t>Global average 8.24 hours of media/day; Japan &gt;13h; US, UK, South Korea &gt;11h</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2026-10-06T03:16:48Z</dcterms:created>
  <dcterms:modified xmlns:dcterms="http://purl.org/dc/terms/" xmlns:xsi="http://www.w3.org/2001/XMLSchema-instance" xsi:type="dcterms:W3CDTF">2026-10-06T03:16:48Z</dcterms:modified>
</cp:coreProperties>
</file>