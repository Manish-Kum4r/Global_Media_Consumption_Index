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 READ ME" sheetId="1" state="visible" r:id="rId1"/>
    <sheet xmlns:r="http://schemas.openxmlformats.org/officeDocument/2006/relationships" name="1 Revenue pool" sheetId="2" state="visible" r:id="rId2"/>
    <sheet xmlns:r="http://schemas.openxmlformats.org/officeDocument/2006/relationships" name="2 Profit pool" sheetId="3" state="visible" r:id="rId3"/>
    <sheet xmlns:r="http://schemas.openxmlformats.org/officeDocument/2006/relationships" name="3 OTT unit economics" sheetId="4" state="visible" r:id="rId4"/>
    <sheet xmlns:r="http://schemas.openxmlformats.org/officeDocument/2006/relationships" name="4 Insight ledger" sheetId="5" state="visible" r:id="rId5"/>
    <sheet xmlns:r="http://schemas.openxmlformats.org/officeDocument/2006/relationships" name="5 Sources" sheetId="6" state="visible" r:id="rId6"/>
    <sheet xmlns:r="http://schemas.openxmlformats.org/officeDocument/2006/relationships" name="6 History anchor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#,##0.0"/>
  </numFmts>
  <fonts count="7">
    <font>
      <name val="Calibri"/>
      <family val="2"/>
      <color theme="1"/>
      <sz val="11"/>
      <scheme val="minor"/>
    </font>
    <font>
      <b val="1"/>
      <color rgb="001F3864"/>
      <sz val="13"/>
    </font>
    <font>
      <color rgb="00595959"/>
      <sz val="9"/>
    </font>
    <font>
      <b val="1"/>
      <sz val="10"/>
    </font>
    <font>
      <sz val="10"/>
    </font>
    <font>
      <b val="1"/>
      <color rgb="00FFFFFF"/>
      <sz val="10"/>
    </font>
    <font>
      <color rgb="000563C1"/>
      <sz val="9"/>
      <u val="single"/>
    </font>
  </fonts>
  <fills count="8">
    <fill>
      <patternFill/>
    </fill>
    <fill>
      <patternFill patternType="gray125"/>
    </fill>
    <fill>
      <patternFill patternType="solid">
        <fgColor rgb="00D9E2F3"/>
      </patternFill>
    </fill>
    <fill>
      <patternFill patternType="solid">
        <fgColor rgb="001F3864"/>
      </patternFill>
    </fill>
    <fill>
      <patternFill patternType="solid">
        <fgColor rgb="00DDEBF7"/>
      </patternFill>
    </fill>
    <fill>
      <patternFill patternType="solid">
        <fgColor rgb="00FCE4D6"/>
      </patternFill>
    </fill>
    <fill>
      <patternFill patternType="solid">
        <fgColor rgb="00FFF2CC"/>
      </patternFill>
    </fill>
    <fill>
      <patternFill patternType="solid">
        <fgColor rgb="00E2EFDA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5" fillId="3" borderId="1" applyAlignment="1" pivotButton="0" quotePrefix="0" xfId="0">
      <alignment horizontal="center" vertical="top" wrapText="1"/>
    </xf>
    <xf numFmtId="0" fontId="3" fillId="4" borderId="1" pivotButton="0" quotePrefix="0" xfId="0"/>
    <xf numFmtId="3" fontId="3" fillId="4" borderId="1" pivotButton="0" quotePrefix="0" xfId="0"/>
    <xf numFmtId="0" fontId="0" fillId="4" borderId="1" pivotButton="0" quotePrefix="0" xfId="0"/>
    <xf numFmtId="0" fontId="2" fillId="0" borderId="1" applyAlignment="1" pivotButton="0" quotePrefix="0" xfId="0">
      <alignment horizontal="left" vertical="top" wrapText="1"/>
    </xf>
    <xf numFmtId="0" fontId="4" fillId="0" borderId="1" pivotButton="0" quotePrefix="0" xfId="0"/>
    <xf numFmtId="3" fontId="4" fillId="5" borderId="1" pivotButton="0" quotePrefix="0" xfId="0"/>
    <xf numFmtId="0" fontId="4" fillId="5" borderId="1" applyAlignment="1" pivotButton="0" quotePrefix="0" xfId="0">
      <alignment horizontal="center" vertical="top"/>
    </xf>
    <xf numFmtId="3" fontId="0" fillId="6" borderId="1" pivotButton="0" quotePrefix="0" xfId="0"/>
    <xf numFmtId="164" fontId="4" fillId="6" borderId="1" pivotButton="0" quotePrefix="0" xfId="0"/>
    <xf numFmtId="3" fontId="4" fillId="0" borderId="1" pivotButton="0" quotePrefix="0" xfId="0"/>
    <xf numFmtId="3" fontId="4" fillId="7" borderId="1" pivotButton="0" quotePrefix="0" xfId="0"/>
    <xf numFmtId="0" fontId="4" fillId="7" borderId="1" applyAlignment="1" pivotButton="0" quotePrefix="0" xfId="0">
      <alignment horizontal="center" vertical="top"/>
    </xf>
    <xf numFmtId="0" fontId="2" fillId="4" borderId="1" pivotButton="0" quotePrefix="0" xfId="0"/>
    <xf numFmtId="0" fontId="3" fillId="2" borderId="1" pivotButton="0" quotePrefix="0" xfId="0"/>
    <xf numFmtId="3" fontId="3" fillId="2" borderId="1" pivotButton="0" quotePrefix="0" xfId="0"/>
    <xf numFmtId="0" fontId="2" fillId="2" borderId="1" applyAlignment="1" pivotButton="0" quotePrefix="0" xfId="0">
      <alignment vertical="top" wrapText="1"/>
    </xf>
    <xf numFmtId="164" fontId="3" fillId="2" borderId="1" pivotButton="0" quotePrefix="0" xfId="0"/>
    <xf numFmtId="0" fontId="2" fillId="0" borderId="1" applyAlignment="1" pivotButton="0" quotePrefix="0" xfId="0">
      <alignment horizontal="center" vertical="top"/>
    </xf>
    <xf numFmtId="0" fontId="0" fillId="0" borderId="4" pivotButton="0" quotePrefix="0" xfId="0"/>
    <xf numFmtId="0" fontId="0" fillId="0" borderId="5" pivotButton="0" quotePrefix="0" xfId="0"/>
    <xf numFmtId="164" fontId="4" fillId="0" borderId="1" pivotButton="0" quotePrefix="0" xfId="0"/>
    <xf numFmtId="0" fontId="4" fillId="0" borderId="1" applyAlignment="1" pivotButton="0" quotePrefix="0" xfId="0">
      <alignment horizontal="center" vertical="top"/>
    </xf>
    <xf numFmtId="164" fontId="3" fillId="4" borderId="1" pivotButton="0" quotePrefix="0" xfId="0"/>
    <xf numFmtId="0" fontId="2" fillId="4" borderId="1" applyAlignment="1" pivotButton="0" quotePrefix="0" xfId="0">
      <alignment horizontal="left" vertical="top" wrapText="1"/>
    </xf>
    <xf numFmtId="0" fontId="2" fillId="2" borderId="1" applyAlignment="1" pivotButton="0" quotePrefix="0" xfId="0">
      <alignment horizontal="left" vertical="top" wrapText="1"/>
    </xf>
    <xf numFmtId="0" fontId="5" fillId="3" borderId="1" pivotButton="0" quotePrefix="0" xfId="0"/>
    <xf numFmtId="3" fontId="3" fillId="6" borderId="1" pivotButton="0" quotePrefix="0" xfId="0"/>
    <xf numFmtId="164" fontId="3" fillId="6" borderId="1" pivotButton="0" quotePrefix="0" xfId="0"/>
    <xf numFmtId="0" fontId="3" fillId="2" borderId="1" applyAlignment="1" pivotButton="0" quotePrefix="0" xfId="0">
      <alignment horizontal="center" vertical="top" wrapText="1"/>
    </xf>
    <xf numFmtId="3" fontId="3" fillId="2" borderId="1" applyAlignment="1" pivotButton="0" quotePrefix="0" xfId="0">
      <alignment horizontal="center" vertical="top"/>
    </xf>
    <xf numFmtId="165" fontId="4" fillId="0" borderId="1" pivotButton="0" quotePrefix="0" xfId="0"/>
    <xf numFmtId="0" fontId="2" fillId="0" borderId="1" applyAlignment="1" pivotButton="0" quotePrefix="0" xfId="0">
      <alignment vertical="top" wrapText="1"/>
    </xf>
    <xf numFmtId="0" fontId="3" fillId="0" borderId="1" applyAlignment="1" pivotButton="0" quotePrefix="0" xfId="0">
      <alignment horizontal="center" vertical="top"/>
    </xf>
    <xf numFmtId="0" fontId="4" fillId="0" borderId="1" applyAlignment="1" pivotButton="0" quotePrefix="0" xfId="0">
      <alignment horizontal="left" vertical="top" wrapText="1"/>
    </xf>
    <xf numFmtId="0" fontId="4" fillId="6" borderId="1" applyAlignment="1" pivotButton="0" quotePrefix="0" xfId="0">
      <alignment horizontal="center" vertical="top"/>
    </xf>
    <xf numFmtId="0" fontId="4" fillId="2" borderId="1" applyAlignment="1" pivotButton="0" quotePrefix="0" xfId="0">
      <alignment horizontal="left" vertical="top" wrapText="1"/>
    </xf>
    <xf numFmtId="0" fontId="5" fillId="3" borderId="1" applyAlignment="1" pivotButton="0" quotePrefix="0" xfId="0">
      <alignment horizontal="center" vertical="top"/>
    </xf>
    <xf numFmtId="0" fontId="3" fillId="0" borderId="1" applyAlignment="1" pivotButton="0" quotePrefix="0" xfId="0">
      <alignment horizontal="left" vertical="top" wrapText="1"/>
    </xf>
    <xf numFmtId="0" fontId="6" fillId="0" borderId="1" applyAlignment="1" pivotButton="0" quotePrefix="0" xfId="0">
      <alignment horizontal="left" vertical="top" wrapText="1"/>
    </xf>
    <xf numFmtId="3" fontId="4" fillId="6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Revenue share vs profit share, India M&amp;E 2025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'2 Profit pool'!B23</f>
            </strRef>
          </tx>
          <spPr>
            <a:ln xmlns:a="http://schemas.openxmlformats.org/drawingml/2006/main">
              <a:prstDash val="solid"/>
            </a:ln>
          </spPr>
          <cat>
            <numRef>
              <f>'2 Profit pool'!$A$24:$A$35</f>
            </numRef>
          </cat>
          <val>
            <numRef>
              <f>'2 Profit pool'!$B$24:$B$35</f>
            </numRef>
          </val>
        </ser>
        <ser>
          <idx val="1"/>
          <order val="1"/>
          <tx>
            <strRef>
              <f>'2 Profit pool'!C23</f>
            </strRef>
          </tx>
          <spPr>
            <a:ln xmlns:a="http://schemas.openxmlformats.org/drawingml/2006/main">
              <a:prstDash val="solid"/>
            </a:ln>
          </spPr>
          <cat>
            <numRef>
              <f>'2 Profit pool'!$A$24:$A$35</f>
            </numRef>
          </cat>
          <val>
            <numRef>
              <f>'2 Profit pool'!$C$24:$C$35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% of total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10</col>
      <colOff>0</colOff>
      <row>3</row>
      <rowOff>0</rowOff>
    </from>
    <ext cx="9360000" cy="39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6.xml.rels><Relationships xmlns="http://schemas.openxmlformats.org/package/2006/relationships"><Relationship Type="http://schemas.openxmlformats.org/officeDocument/2006/relationships/hyperlink" Target="https://www.ey.com/en_in/insights/media-entertainment/stories-scale-and-impact-unlocking-india-s-m-e-economy" TargetMode="External" Id="rId1"/><Relationship Type="http://schemas.openxmlformats.org/officeDocument/2006/relationships/hyperlink" Target="https://aidcf.com/wp-content/uploads/FICCI-EY-Media-and-Entertainment-Report-2026_reduced.pdf" TargetMode="External" Id="rId2"/><Relationship Type="http://schemas.openxmlformats.org/officeDocument/2006/relationships/hyperlink" Target="https://animationxpress.com/wp-content/uploads/2024/03/Ficci-EY-India-s-media-entertainment-sector-is-innovating-for-the-future-2024-3.pdf" TargetMode="External" Id="rId3"/><Relationship Type="http://schemas.openxmlformats.org/officeDocument/2006/relationships/hyperlink" Target="https://www.ey.com/en_in/newsroom/2026/03/india-s-media-and-entertainment-sector-grew-9-percent-to-inr-2-point-78-trillion-in-2025-driven-by-digital-and-live-experiences-ficci-ey-report" TargetMode="External" Id="rId4"/><Relationship Type="http://schemas.openxmlformats.org/officeDocument/2006/relationships/hyperlink" Target="https://www.ril.com/investors/financial-reporting" TargetMode="External" Id="rId5"/><Relationship Type="http://schemas.openxmlformats.org/officeDocument/2006/relationships/hyperlink" Target="https://ir.netflix.net/financials/quarterly-earnings/default.aspx" TargetMode="External" Id="rId6"/><Relationship Type="http://schemas.openxmlformats.org/officeDocument/2006/relationships/hyperlink" Target="https://www.bseindia.com/  and  https://www.nseindia.com/" TargetMode="External" Id="rId7"/><Relationship Type="http://schemas.openxmlformats.org/officeDocument/2006/relationships/hyperlink" Target="https://www.bseindia.com/" TargetMode="External" Id="rId8"/><Relationship Type="http://schemas.openxmlformats.org/officeDocument/2006/relationships/hyperlink" Target="https://tracxn.com/  and  https://www.tofler.in/" TargetMode="External" Id="rId9"/><Relationship Type="http://schemas.openxmlformats.org/officeDocument/2006/relationships/hyperlink" Target="https://indiadispatch.com/p/netflix-said-to-have-20-million-paying" TargetMode="External" Id="rId10"/><Relationship Type="http://schemas.openxmlformats.org/officeDocument/2006/relationships/hyperlink" Target="https://bestmediainfo.com/mediainfo/advertising/retail-media-and-ctv-to-power-indias-rs-2-lakh-crore-adex-in-2026-wpp-media-tyny-10890683" TargetMode="External" Id="rId11"/><Relationship Type="http://schemas.openxmlformats.org/officeDocument/2006/relationships/hyperlink" Target="https://lumikai.com/" TargetMode="External" Id="rId12"/><Relationship Type="http://schemas.openxmlformats.org/officeDocument/2006/relationships/hyperlink" Target="https://cleartax.in/s/gst-on-online-gaming" TargetMode="External" Id="rId13"/><Relationship Type="http://schemas.openxmlformats.org/officeDocument/2006/relationships/hyperlink" Target="https://www.ormaxmedia.com/" TargetMode="External" Id="rId14"/><Relationship Type="http://schemas.openxmlformats.org/officeDocument/2006/relationships/hyperlink" Target="https://www.comscore.com/" TargetMode="External" Id="rId15"/><Relationship Type="http://schemas.openxmlformats.org/officeDocument/2006/relationships/hyperlink" Target="https://www.sacnilk.com/" TargetMode="External" Id="rId16"/><Relationship Type="http://schemas.openxmlformats.org/officeDocument/2006/relationships/hyperlink" Target="https://www.bain.com/industry-specialties/media-entertainment/" TargetMode="External" Id="rId1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C15"/>
  <sheetViews>
    <sheetView workbookViewId="0">
      <selection activeCell="A1" sqref="A1"/>
    </sheetView>
  </sheetViews>
  <sheetFormatPr baseColWidth="8" defaultRowHeight="15"/>
  <cols>
    <col width="3" customWidth="1" min="1" max="1"/>
    <col width="34" customWidth="1" min="2" max="2"/>
    <col width="96" customWidth="1" min="3" max="3"/>
  </cols>
  <sheetData>
    <row r="2">
      <c r="B2" s="1" t="inlineStr">
        <is>
          <t>INDIA M&amp;E PROFIT POOL MODEL  |  starter kit</t>
        </is>
      </c>
    </row>
    <row r="3">
      <c r="B3" s="2" t="inlineStr">
        <is>
          <t>Built for a Bain / BCN Communication, Media &amp; Entertainment (CME) analyst application</t>
        </is>
      </c>
    </row>
    <row r="5" ht="46" customHeight="1">
      <c r="B5" s="3" t="inlineStr">
        <is>
          <t>What this file is</t>
        </is>
      </c>
      <c r="C5" s="4" t="inlineStr">
        <is>
          <t>A working skeleton for the project 'Follow the Profit, Not the Growth'. You are not handed the answer - you are handed the scaffolding, the anchors and the integrity rules.</t>
        </is>
      </c>
    </row>
    <row r="6" ht="46" customHeight="1">
      <c r="B6" s="3" t="inlineStr">
        <is>
          <t>How to use it</t>
        </is>
      </c>
      <c r="C6" s="4" t="inlineStr">
        <is>
          <t>1) Fill the blank FY23 / FY20 columns from the FICCI-EY 2024 and 2022-23 report PDFs (links on sheet '5 Sources'). 2) Replace every margin on sheet '2 Profit pool' with a bottom-up number from listed-company filings. 3) Re-do the OTT deep dive on sheet '3' with JioStar / Netflix India disclosures. 4) Log every insight on sheet '4'.</t>
        </is>
      </c>
    </row>
    <row r="7" ht="46" customHeight="1">
      <c r="B7" s="3" t="inlineStr">
        <is>
          <t>Colour code</t>
        </is>
      </c>
      <c r="C7" s="4" t="inlineStr">
        <is>
          <t>YELLOW = your input / assumption (change it).  GREEN = reported figure from a named source.  ORANGE = my estimate - you MUST validate it before you show this to anyone.</t>
        </is>
      </c>
    </row>
    <row r="8" ht="46" customHeight="1">
      <c r="B8" s="3" t="inlineStr">
        <is>
          <t>The one rule</t>
        </is>
      </c>
      <c r="C8" s="4" t="inlineStr">
        <is>
          <t>Every number needs a source + a date. If you cannot source it, label it 'assumption' and say why it is reasonable. An unsourced number in a Bain interview is worse than a blank.</t>
        </is>
      </c>
    </row>
    <row r="9" ht="46" customHeight="1">
      <c r="B9" s="3" t="inlineStr">
        <is>
          <t>The one number that matters</t>
        </is>
      </c>
      <c r="C9" s="4" t="inlineStr">
        <is>
          <t>The split of India's digital ad revenue into 'global platforms' vs 'Indian media' (sheet '1', rows for digital ad). This single split drives the headline insight. My estimate is 78,000 / 20% - you must rebuild it from GroupM/WPP/PwC ad-spend splits and defend it. Practise the defence out loud.</t>
        </is>
      </c>
    </row>
    <row r="10" ht="46" customHeight="1">
      <c r="B10" s="3" t="inlineStr">
        <is>
          <t>Where the files are</t>
        </is>
      </c>
      <c r="C10" s="4" t="inlineStr">
        <is>
          <t>Deck outline, 4-week plan, CV bullet, 90-second interview script and the insight bank are in 'Bain_MnE_Project_Blueprint.md'.</t>
        </is>
      </c>
    </row>
    <row r="13" ht="46" customHeight="1">
      <c r="B13" s="3" t="inlineStr">
        <is>
          <t>Reconciliation check</t>
        </is>
      </c>
      <c r="C13" s="4" t="inlineStr">
        <is>
          <t>Sheet '1' has a variance line vs the FICCI-EY headline of INR 2,780 bn (2025). Target: within +/-3%. If you are outside it, you have a definitional problem - write down which definition you changed and why. This is exactly the work a real research analyst does.</t>
        </is>
      </c>
    </row>
    <row r="15" ht="46" customHeight="1">
      <c r="B15" s="3" t="inlineStr">
        <is>
          <t>Data integrity habit that impresses interviewers</t>
        </is>
      </c>
      <c r="C15" s="4" t="inlineStr">
        <is>
          <t>Keep a 'kill list' tab: every number your model uses, the source, the date you pulled it, and your confidence. When an interviewer challenges a number, you open one tab and answer in 5 seconds. That is what 'zero defect' delivery looks like.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cols>
    <col width="46" customWidth="1" min="1" max="1"/>
    <col width="13" customWidth="1" min="2" max="2"/>
    <col width="15" customWidth="1" min="3" max="3"/>
    <col width="11" customWidth="1" min="4" max="4"/>
    <col width="11" customWidth="1" min="5" max="5"/>
    <col width="13" customWidth="1" min="6" max="6"/>
    <col width="12" customWidth="1" min="7" max="7"/>
    <col width="12" customWidth="1" min="8" max="8"/>
    <col width="12" customWidth="1" min="9" max="9"/>
    <col width="62" customWidth="1" min="10" max="10"/>
  </cols>
  <sheetData>
    <row r="1">
      <c r="A1" s="1" t="inlineStr">
        <is>
          <t>INDIA M&amp;E REVENUE POOL  |  INR billion (1 bn = 100 crore)  |  gross of taxes</t>
        </is>
      </c>
    </row>
    <row r="2">
      <c r="A2" s="2" t="inlineStr">
        <is>
          <t>FY25 column is anchored to published sources. FY23 / FY20 are yours to fill (FICCI-EY 2024 &amp; 2021-22 reports). Growth is your call - EY projections noted in column J.</t>
        </is>
      </c>
    </row>
    <row r="4" ht="30" customHeight="1">
      <c r="A4" s="5" t="inlineStr">
        <is>
          <t>Segment</t>
        </is>
      </c>
      <c r="B4" s="5" t="inlineStr">
        <is>
          <t>FY25 (INR bn)</t>
        </is>
      </c>
      <c r="C4" s="5" t="inlineStr">
        <is>
          <t>Data quality</t>
        </is>
      </c>
      <c r="D4" s="5" t="inlineStr">
        <is>
          <t>FY23 (fill)</t>
        </is>
      </c>
      <c r="E4" s="5" t="inlineStr">
        <is>
          <t>FY20 (fill)</t>
        </is>
      </c>
      <c r="F4" s="5" t="inlineStr">
        <is>
          <t>Growth FY26-28E (input)</t>
        </is>
      </c>
      <c r="G4" s="5" t="inlineStr">
        <is>
          <t>FY26E</t>
        </is>
      </c>
      <c r="H4" s="5" t="inlineStr">
        <is>
          <t>FY27E</t>
        </is>
      </c>
      <c r="I4" s="5" t="inlineStr">
        <is>
          <t>FY28E</t>
        </is>
      </c>
      <c r="J4" s="5" t="inlineStr">
        <is>
          <t>Source / note</t>
        </is>
      </c>
    </row>
    <row r="5" ht="28" customHeight="1">
      <c r="A5" s="6" t="inlineStr">
        <is>
          <t>Digital media - TOTAL</t>
        </is>
      </c>
      <c r="B5" s="7">
        <f>SUM(B6:B8)</f>
        <v>1110.0</v>
      </c>
      <c r="C5" s="6" t="inlineStr">
        <is>
          <t>-</t>
        </is>
      </c>
      <c r="D5" s="8" t="n"/>
      <c r="E5" s="8" t="n"/>
      <c r="F5" s="8" t="n"/>
      <c r="G5" s="7">
        <f>SUM(G6:G8)</f>
        <v>1268.79</v>
      </c>
      <c r="H5" s="7">
        <f>SUM(H6:H8)</f>
        <v>1451.9223</v>
      </c>
      <c r="I5" s="7">
        <f>SUM(I6:I8)</f>
        <v>1663.429881</v>
      </c>
      <c r="J5" s="9" t="inlineStr">
        <is>
          <t>FICCI-EY 2026: digital media crossed INR 1 trillion and became the largest segment</t>
        </is>
      </c>
    </row>
    <row r="6" ht="28" customHeight="1">
      <c r="A6" s="10" t="inlineStr">
        <is>
          <t xml:space="preserve">   Digital ad - global platforms (Google/Meta/YouTube/Amazon)</t>
        </is>
      </c>
      <c r="B6" s="11" t="n">
        <v>740</v>
      </c>
      <c r="C6" s="12" t="inlineStr">
        <is>
          <t>Estimate</t>
        </is>
      </c>
      <c r="D6" s="13" t="n"/>
      <c r="E6" s="13" t="n"/>
      <c r="F6" s="14" t="n">
        <v>0.12</v>
      </c>
      <c r="G6" s="15">
        <f>B6*(1+F6)</f>
        <v>828.8</v>
      </c>
      <c r="H6" s="15">
        <f>G6*(1+F6)</f>
        <v>928.256</v>
      </c>
      <c r="I6" s="15">
        <f>H6*(1+F6)</f>
        <v>1039.64672</v>
      </c>
      <c r="J6" s="9" t="inlineStr">
        <is>
          <t>Derived: Indian digital ad (947) less Indian-media digital ad (207). MUST be rebuilt from GroupM/WPP ad-spend splits</t>
        </is>
      </c>
    </row>
    <row r="7" ht="28" customHeight="1">
      <c r="A7" s="10" t="inlineStr">
        <is>
          <t xml:space="preserve">   Digital ad - Indian media (CTV, OTT, news, publishers)</t>
        </is>
      </c>
      <c r="B7" s="11" t="n">
        <v>207</v>
      </c>
      <c r="C7" s="12" t="inlineStr">
        <is>
          <t>Estimate</t>
        </is>
      </c>
      <c r="D7" s="13" t="n"/>
      <c r="E7" s="13" t="n"/>
      <c r="F7" s="14" t="n">
        <v>0.22</v>
      </c>
      <c r="G7" s="15">
        <f>B7*(1+F7)</f>
        <v>252.54</v>
      </c>
      <c r="H7" s="15">
        <f>G7*(1+F7)</f>
        <v>308.0988</v>
      </c>
      <c r="I7" s="15">
        <f>H7*(1+F7)</f>
        <v>375.880536</v>
      </c>
      <c r="J7" s="9" t="inlineStr">
        <is>
          <t>Includes CTV ad revenue of INR 99 bn (reported, +42% in 2025) plus Indian OTT/news/publisher digital ad</t>
        </is>
      </c>
    </row>
    <row r="8" ht="28" customHeight="1">
      <c r="A8" s="10" t="inlineStr">
        <is>
          <t xml:space="preserve">   Digital subscriptions (video 148 + audio 10 + news 5)</t>
        </is>
      </c>
      <c r="B8" s="16" t="n">
        <v>163</v>
      </c>
      <c r="C8" s="17" t="inlineStr">
        <is>
          <t>Reported</t>
        </is>
      </c>
      <c r="D8" s="13" t="n"/>
      <c r="E8" s="13" t="n"/>
      <c r="F8" s="14" t="n">
        <v>0.15</v>
      </c>
      <c r="G8" s="15">
        <f>B8*(1+F8)</f>
        <v>187.45</v>
      </c>
      <c r="H8" s="15">
        <f>G8*(1+F8)</f>
        <v>215.5675</v>
      </c>
      <c r="I8" s="15">
        <f>H8*(1+F8)</f>
        <v>247.902625</v>
      </c>
      <c r="J8" s="9" t="inlineStr">
        <is>
          <t>EY: video sub revenue INR 148 bn (+61%), 143 mn paying households / 216 mn subscriptions; audio INR 10 bn; news INR 5 bn</t>
        </is>
      </c>
    </row>
    <row r="9" ht="28" customHeight="1">
      <c r="A9" s="10" t="inlineStr">
        <is>
          <t>Television - linear (ad + subscriptions)</t>
        </is>
      </c>
      <c r="B9" s="11" t="n">
        <v>580</v>
      </c>
      <c r="C9" s="12" t="inlineStr">
        <is>
          <t>Estimate</t>
        </is>
      </c>
      <c r="D9" s="13" t="n"/>
      <c r="E9" s="13" t="n"/>
      <c r="F9" s="14" t="n">
        <v>-0.02</v>
      </c>
      <c r="G9" s="15">
        <f>B9*(1+F9)</f>
        <v>568.4</v>
      </c>
      <c r="H9" s="15">
        <f>G9*(1+F9)</f>
        <v>557.032</v>
      </c>
      <c r="I9" s="15">
        <f>H9*(1+F9)</f>
        <v>545.89136</v>
      </c>
      <c r="J9" s="9" t="inlineStr">
        <is>
          <t>Linear TV ad INR 263 bn (-10%, Statista/EY); TV subscription est. INR 317 bn (-8% in 2025, pay-TV homes -11 mn). VERIFY split</t>
        </is>
      </c>
    </row>
    <row r="10" ht="28" customHeight="1">
      <c r="A10" s="10" t="inlineStr">
        <is>
          <t>Print (advertising + circulation)</t>
        </is>
      </c>
      <c r="B10" s="11" t="n">
        <v>480</v>
      </c>
      <c r="C10" s="12" t="inlineStr">
        <is>
          <t>Estimate</t>
        </is>
      </c>
      <c r="D10" s="13" t="n"/>
      <c r="E10" s="13" t="n"/>
      <c r="F10" s="14" t="n">
        <v>0.02</v>
      </c>
      <c r="G10" s="15">
        <f>B10*(1+F10)</f>
        <v>489.6</v>
      </c>
      <c r="H10" s="15">
        <f>G10*(1+F10)</f>
        <v>499.392</v>
      </c>
      <c r="I10" s="15">
        <f>H10*(1+F10)</f>
        <v>509.37984</v>
      </c>
      <c r="J10" s="9" t="inlineStr">
        <is>
          <t>EY: print ad revenue +2% in 2025; circulation -1%. Split of ad vs circulation to be rebuilt from DB Corp / Jagran / HT Media filings</t>
        </is>
      </c>
    </row>
    <row r="11" ht="28" customHeight="1">
      <c r="A11" s="10" t="inlineStr">
        <is>
          <t>Filmed entertainment</t>
        </is>
      </c>
      <c r="B11" s="16" t="n">
        <v>205</v>
      </c>
      <c r="C11" s="17" t="inlineStr">
        <is>
          <t>Reported</t>
        </is>
      </c>
      <c r="D11" s="13" t="n"/>
      <c r="E11" s="13" t="n"/>
      <c r="F11" s="14" t="n">
        <v>0.06</v>
      </c>
      <c r="G11" s="15">
        <f>B11*(1+F11)</f>
        <v>217.3</v>
      </c>
      <c r="H11" s="15">
        <f>G11*(1+F11)</f>
        <v>230.338</v>
      </c>
      <c r="I11" s="15">
        <f>H11*(1+F11)</f>
        <v>244.15828</v>
      </c>
      <c r="J11" s="9" t="inlineStr">
        <is>
          <t>EY 2026: record INR 205 bn; theatrical +14-16% on higher ticket prices; digital rights -8%, satellite rights -10%</t>
        </is>
      </c>
    </row>
    <row r="12" ht="28" customHeight="1">
      <c r="A12" s="10" t="inlineStr">
        <is>
          <t>Online gaming</t>
        </is>
      </c>
      <c r="B12" s="11" t="n">
        <v>160</v>
      </c>
      <c r="C12" s="12" t="inlineStr">
        <is>
          <t>Estimate</t>
        </is>
      </c>
      <c r="D12" s="13" t="n"/>
      <c r="E12" s="13" t="n"/>
      <c r="F12" s="14" t="n">
        <v>-0.05</v>
      </c>
      <c r="G12" s="15">
        <f>B12*(1+F12)</f>
        <v>152.0</v>
      </c>
      <c r="H12" s="15">
        <f>G12*(1+F12)</f>
        <v>144.4</v>
      </c>
      <c r="I12" s="15">
        <f>H12*(1+F12)</f>
        <v>137.18</v>
      </c>
      <c r="J12" s="9" t="inlineStr">
        <is>
          <t>Policy shock: Online Gaming Act 2025 banned real-money gaming from 22 Aug 2025. 2023 base was INR 220 bn. HIGH UNCERTAINTY - rebuild from Lumikai</t>
        </is>
      </c>
    </row>
    <row r="13" ht="28" customHeight="1">
      <c r="A13" s="10" t="inlineStr">
        <is>
          <t>Live events (organised)</t>
        </is>
      </c>
      <c r="B13" s="11" t="n">
        <v>135</v>
      </c>
      <c r="C13" s="12" t="inlineStr">
        <is>
          <t>Estimate</t>
        </is>
      </c>
      <c r="D13" s="13" t="n"/>
      <c r="E13" s="13" t="n"/>
      <c r="F13" s="14" t="n">
        <v>0.11</v>
      </c>
      <c r="G13" s="15">
        <f>B13*(1+F13)</f>
        <v>149.85</v>
      </c>
      <c r="H13" s="15">
        <f>G13*(1+F13)</f>
        <v>166.3335</v>
      </c>
      <c r="I13" s="15">
        <f>H13*(1+F13)</f>
        <v>184.630185</v>
      </c>
      <c r="J13" s="9" t="inlineStr">
        <is>
          <t>EY: organised live events +44% to ~USD 1.55 bn; projected ~USD 2.09 bn by 2028</t>
        </is>
      </c>
    </row>
    <row r="14" ht="28" customHeight="1">
      <c r="A14" s="10" t="inlineStr">
        <is>
          <t>Out-of-home media</t>
        </is>
      </c>
      <c r="B14" s="11" t="n">
        <v>50</v>
      </c>
      <c r="C14" s="12" t="inlineStr">
        <is>
          <t>Estimate</t>
        </is>
      </c>
      <c r="D14" s="13" t="n"/>
      <c r="E14" s="13" t="n"/>
      <c r="F14" s="14" t="n">
        <v>0.1</v>
      </c>
      <c r="G14" s="15">
        <f>B14*(1+F14)</f>
        <v>55.0</v>
      </c>
      <c r="H14" s="15">
        <f>G14*(1+F14)</f>
        <v>60.5</v>
      </c>
      <c r="I14" s="15">
        <f>H14*(1+F14)</f>
        <v>66.55</v>
      </c>
      <c r="J14" s="9" t="inlineStr">
        <is>
          <t>EY: OOH +13%, digital OOH now 18% of segment revenue (up from 7% in 2023)</t>
        </is>
      </c>
    </row>
    <row r="15" ht="28" customHeight="1">
      <c r="A15" s="10" t="inlineStr">
        <is>
          <t>Animation &amp; VFX</t>
        </is>
      </c>
      <c r="B15" s="11" t="n">
        <v>40</v>
      </c>
      <c r="C15" s="12" t="inlineStr">
        <is>
          <t>Estimate</t>
        </is>
      </c>
      <c r="D15" s="13" t="n"/>
      <c r="E15" s="13" t="n"/>
      <c r="F15" s="14" t="n">
        <v>0.12</v>
      </c>
      <c r="G15" s="15">
        <f>B15*(1+F15)</f>
        <v>44.8</v>
      </c>
      <c r="H15" s="15">
        <f>G15*(1+F15)</f>
        <v>50.176</v>
      </c>
      <c r="I15" s="15">
        <f>H15*(1+F15)</f>
        <v>56.19712</v>
      </c>
      <c r="J15" s="9" t="inlineStr">
        <is>
          <t>EY: segment under cost pressure from buyer consolidation and leaner slates; export demand rising</t>
        </is>
      </c>
    </row>
    <row r="16" ht="28" customHeight="1">
      <c r="A16" s="10" t="inlineStr">
        <is>
          <t>Music</t>
        </is>
      </c>
      <c r="B16" s="11" t="n">
        <v>30</v>
      </c>
      <c r="C16" s="12" t="inlineStr">
        <is>
          <t>Estimate</t>
        </is>
      </c>
      <c r="D16" s="13" t="n"/>
      <c r="E16" s="13" t="n"/>
      <c r="F16" s="14" t="n">
        <v>0.09</v>
      </c>
      <c r="G16" s="15">
        <f>B16*(1+F16)</f>
        <v>32.7</v>
      </c>
      <c r="H16" s="15">
        <f>G16*(1+F16)</f>
        <v>35.643</v>
      </c>
      <c r="I16" s="15">
        <f>H16*(1+F16)</f>
        <v>38.85087</v>
      </c>
      <c r="J16" s="9" t="inlineStr">
        <is>
          <t>EY: music +10%; digital licensing only +2% (declining YouTube returns); labels' other income +26%</t>
        </is>
      </c>
    </row>
    <row r="17" ht="28" customHeight="1">
      <c r="A17" s="10" t="inlineStr">
        <is>
          <t>Radio</t>
        </is>
      </c>
      <c r="B17" s="16" t="n">
        <v>21</v>
      </c>
      <c r="C17" s="17" t="inlineStr">
        <is>
          <t>Reported</t>
        </is>
      </c>
      <c r="D17" s="13" t="n"/>
      <c r="E17" s="13" t="n"/>
      <c r="F17" s="14" t="n">
        <v>-0.05</v>
      </c>
      <c r="G17" s="15">
        <f>B17*(1+F17)</f>
        <v>19.95</v>
      </c>
      <c r="H17" s="15">
        <f>G17*(1+F17)</f>
        <v>18.9525</v>
      </c>
      <c r="I17" s="15">
        <f>H17*(1+F17)</f>
        <v>18.004875</v>
      </c>
      <c r="J17" s="9" t="inlineStr">
        <is>
          <t>EY: radio revenue -7% to ~USD 245 mn; FM tuners disappearing from devices and cars</t>
        </is>
      </c>
    </row>
    <row r="18">
      <c r="A18" s="6" t="inlineStr">
        <is>
          <t>TOTAL M&amp;E (model)</t>
        </is>
      </c>
      <c r="B18" s="7">
        <f>SUM(B5,B9:B17)</f>
        <v>2811.0</v>
      </c>
      <c r="C18" s="8" t="n"/>
      <c r="D18" s="8" t="n"/>
      <c r="E18" s="8" t="n"/>
      <c r="F18" s="8" t="n"/>
      <c r="G18" s="7">
        <f>SUM(G5,G9:G17)</f>
        <v>2998.39</v>
      </c>
      <c r="H18" s="7">
        <f>SUM(H5,H9:H17)</f>
        <v>3214.6893</v>
      </c>
      <c r="I18" s="7">
        <f>SUM(I5,I9:I17)</f>
        <v>3464.272411</v>
      </c>
      <c r="J18" s="18" t="inlineStr">
        <is>
          <t>Sum of rows 5 and 9-17 (digital total + all other segments)</t>
        </is>
      </c>
    </row>
    <row r="19">
      <c r="A19" s="19" t="inlineStr">
        <is>
          <t>FICCI-EY headline total (2025)</t>
        </is>
      </c>
      <c r="B19" s="20" t="n">
        <v>2780</v>
      </c>
      <c r="J19" s="21" t="inlineStr">
        <is>
          <t>FICCI-EY 2026 report: India M&amp;E = INR 2.78 trillion in 2025, +9% YoY</t>
        </is>
      </c>
    </row>
    <row r="20">
      <c r="A20" s="19" t="inlineStr">
        <is>
          <t>Variance vs headline</t>
        </is>
      </c>
      <c r="B20" s="22">
        <f>B18/B19-1</f>
        <v>0.0111510791</v>
      </c>
      <c r="J20" s="21" t="inlineStr">
        <is>
          <t>Target within +/-3%. Write down which definition you changed if you are outside it.</t>
        </is>
      </c>
    </row>
    <row r="22">
      <c r="A22" s="19" t="inlineStr">
        <is>
          <t>Sanity anchors to keep in your head</t>
        </is>
      </c>
    </row>
    <row r="23">
      <c r="A23" s="23" t="inlineStr">
        <is>
          <t>-</t>
        </is>
      </c>
      <c r="B23" s="9" t="inlineStr">
        <is>
          <t>2025 total advertising = INR 1.5 trillion (+13.5%), of which digital = INR 947 bn (63%) - EY/FICCI 2026</t>
        </is>
      </c>
      <c r="C23" s="24" t="n"/>
      <c r="D23" s="24" t="n"/>
      <c r="E23" s="24" t="n"/>
      <c r="F23" s="24" t="n"/>
      <c r="G23" s="24" t="n"/>
      <c r="H23" s="24" t="n"/>
      <c r="I23" s="24" t="n"/>
      <c r="J23" s="25" t="n"/>
    </row>
    <row r="24">
      <c r="A24" s="23" t="inlineStr">
        <is>
          <t>-</t>
        </is>
      </c>
      <c r="B24" s="9" t="inlineStr">
        <is>
          <t>Linear + CTV ad revenue together were flat at INR 362 bn - i.e. the growth inside 'TV' is CTV, not linear</t>
        </is>
      </c>
      <c r="C24" s="24" t="n"/>
      <c r="D24" s="24" t="n"/>
      <c r="E24" s="24" t="n"/>
      <c r="F24" s="24" t="n"/>
      <c r="G24" s="24" t="n"/>
      <c r="H24" s="24" t="n"/>
      <c r="I24" s="24" t="n"/>
      <c r="J24" s="25" t="n"/>
    </row>
    <row r="25">
      <c r="A25" s="23" t="inlineStr">
        <is>
          <t>-</t>
        </is>
      </c>
      <c r="B25" s="9" t="inlineStr">
        <is>
          <t>Digital media to reach INR 1,640 bn by 2028 (14% CAGR); digital subscriptions to INR 248 bn</t>
        </is>
      </c>
      <c r="C25" s="24" t="n"/>
      <c r="D25" s="24" t="n"/>
      <c r="E25" s="24" t="n"/>
      <c r="F25" s="24" t="n"/>
      <c r="G25" s="24" t="n"/>
      <c r="H25" s="24" t="n"/>
      <c r="I25" s="24" t="n"/>
      <c r="J25" s="25" t="n"/>
    </row>
  </sheetData>
  <mergeCells count="3">
    <mergeCell ref="B23:J23"/>
    <mergeCell ref="B25:J25"/>
    <mergeCell ref="B24:J2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5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14" customWidth="1" min="2" max="2"/>
    <col width="14" customWidth="1" min="3" max="3"/>
    <col width="58" customWidth="1" min="4" max="4"/>
    <col width="14" customWidth="1" min="5" max="5"/>
    <col width="12" customWidth="1" min="6" max="6"/>
    <col width="12" customWidth="1" min="7" max="7"/>
    <col width="14" customWidth="1" min="8" max="8"/>
    <col width="26" customWidth="1" min="9" max="9"/>
  </cols>
  <sheetData>
    <row r="1">
      <c r="A1" s="1" t="inlineStr">
        <is>
          <t>INDIA M&amp;E PROFIT POOL  |  the divergence between revenue share and profit share</t>
        </is>
      </c>
    </row>
    <row r="2">
      <c r="A2" s="2" t="inlineStr">
        <is>
          <t>Margins below are STARTING ASSUMPTIONS. Replace them with bottom-up margins from listed-company filings (Sun TV, Zee, TV18, DB Corp, Jagran, HT Media, ENIL, Saregama, Tips, PVR Inox).</t>
        </is>
      </c>
    </row>
    <row r="4" ht="32" customHeight="1">
      <c r="A4" s="5" t="inlineStr">
        <is>
          <t>Segment</t>
        </is>
      </c>
      <c r="B4" s="5" t="inlineStr">
        <is>
          <t>FY25 revenue (INR bn)</t>
        </is>
      </c>
      <c r="C4" s="5" t="inlineStr">
        <is>
          <t>EBITDA margin (input)</t>
        </is>
      </c>
      <c r="D4" s="5" t="inlineStr">
        <is>
          <t>Margin benchmark - replace with sourced number</t>
        </is>
      </c>
      <c r="E4" s="5" t="inlineStr">
        <is>
          <t>FY25 profit (INR bn)</t>
        </is>
      </c>
      <c r="F4" s="5" t="inlineStr">
        <is>
          <t>% of sector revenue</t>
        </is>
      </c>
      <c r="G4" s="5" t="inlineStr">
        <is>
          <t>% of sector profit</t>
        </is>
      </c>
      <c r="H4" s="5" t="inlineStr">
        <is>
          <t>Profit attribution</t>
        </is>
      </c>
      <c r="I4" s="5" t="inlineStr">
        <is>
          <t>Verdict</t>
        </is>
      </c>
    </row>
    <row r="5" ht="30" customHeight="1">
      <c r="A5" s="6" t="inlineStr">
        <is>
          <t>Digital media - TOTAL</t>
        </is>
      </c>
      <c r="B5" s="7">
        <f>SUM(B6:B8)</f>
        <v>1110.0</v>
      </c>
      <c r="C5" s="8" t="n"/>
      <c r="D5" s="8" t="n"/>
      <c r="E5" s="7">
        <f>SUM(E6:E8)</f>
        <v>266.66</v>
      </c>
      <c r="F5" s="8" t="n"/>
      <c r="G5" s="8" t="n"/>
      <c r="H5" s="8" t="n"/>
      <c r="I5" s="8" t="n"/>
    </row>
    <row r="6" ht="30" customHeight="1">
      <c r="A6" s="10" t="inlineStr">
        <is>
          <t xml:space="preserve">   Digital ad - global platforms</t>
        </is>
      </c>
      <c r="B6" s="15" t="n">
        <v>740</v>
      </c>
      <c r="C6" s="14" t="n">
        <v>0.35</v>
      </c>
      <c r="D6" s="9" t="inlineStr">
        <is>
          <t>Global platform economics. NOT attributable to Indian M&amp;E - treat as exported unless client owns such a platform.</t>
        </is>
      </c>
      <c r="E6" s="15">
        <f>B6*C6</f>
        <v>259.0</v>
      </c>
      <c r="F6" s="26">
        <f>B6/$B$18</f>
        <v>0.2632515119</v>
      </c>
      <c r="G6" s="26">
        <f>E6/$E$18</f>
        <v>0.4940579517</v>
      </c>
      <c r="H6" s="27" t="inlineStr">
        <is>
          <t>Exported</t>
        </is>
      </c>
      <c r="I6" s="4" t="inlineStr">
        <is>
          <t>Exported pool</t>
        </is>
      </c>
    </row>
    <row r="7" ht="30" customHeight="1">
      <c r="A7" s="10" t="inlineStr">
        <is>
          <t xml:space="preserve">   Digital ad - Indian media</t>
        </is>
      </c>
      <c r="B7" s="15" t="n">
        <v>207</v>
      </c>
      <c r="C7" s="14" t="n">
        <v>0.1</v>
      </c>
      <c r="D7" s="9" t="inlineStr">
        <is>
          <t>CTV ad inventory carries better margins than AVOD; publishers/news mostly sub-scale.</t>
        </is>
      </c>
      <c r="E7" s="15">
        <f>B7*C7</f>
        <v>20.7</v>
      </c>
      <c r="F7" s="26">
        <f>B7/$B$18</f>
        <v>0.0736392743</v>
      </c>
      <c r="G7" s="26">
        <f>E7/$E$18</f>
        <v>0.0394864849</v>
      </c>
      <c r="H7" s="27" t="inlineStr">
        <is>
          <t>India</t>
        </is>
      </c>
      <c r="I7" s="4" t="inlineStr">
        <is>
          <t>Thin margin</t>
        </is>
      </c>
    </row>
    <row r="8" ht="30" customHeight="1">
      <c r="A8" s="10" t="inlineStr">
        <is>
          <t xml:space="preserve">   Digital subscriptions</t>
        </is>
      </c>
      <c r="B8" s="15" t="n">
        <v>163</v>
      </c>
      <c r="C8" s="14" t="n">
        <v>-0.08</v>
      </c>
      <c r="D8" s="9" t="inlineStr">
        <is>
          <t>JioStar group reported ~19% EBITDA margin (Q3 FY26, incl. TV); Netflix India pretax margin low single digit; most others negative.</t>
        </is>
      </c>
      <c r="E8" s="15">
        <f>B8*C8</f>
        <v>-13.04</v>
      </c>
      <c r="F8" s="26">
        <f>B8/$B$18</f>
        <v>0.0579864817</v>
      </c>
      <c r="G8" s="26">
        <f>E8/$E$18</f>
        <v>-0.024874578</v>
      </c>
      <c r="H8" s="27" t="inlineStr">
        <is>
          <t>India</t>
        </is>
      </c>
      <c r="I8" s="4" t="inlineStr">
        <is>
          <t>Loss-making</t>
        </is>
      </c>
    </row>
    <row r="9" ht="30" customHeight="1">
      <c r="A9" s="10" t="inlineStr">
        <is>
          <t>Television - linear</t>
        </is>
      </c>
      <c r="B9" s="15" t="n">
        <v>580</v>
      </c>
      <c r="C9" s="14" t="n">
        <v>0.22</v>
      </c>
      <c r="D9" s="9" t="inlineStr">
        <is>
          <t>Sun TV is the high anchor (~45-50% PBDIT), Zee ~15-20%, TV18 lower. Weighted down for the whole segment.</t>
        </is>
      </c>
      <c r="E9" s="15">
        <f>B9*C9</f>
        <v>127.6</v>
      </c>
      <c r="F9" s="26">
        <f>B9/$B$18</f>
        <v>0.2063322661</v>
      </c>
      <c r="G9" s="26">
        <f>E9/$E$18</f>
        <v>0.2434046125</v>
      </c>
      <c r="H9" s="27" t="inlineStr">
        <is>
          <t>India</t>
        </is>
      </c>
      <c r="I9" s="4" t="inlineStr">
        <is>
          <t>Cash cow</t>
        </is>
      </c>
    </row>
    <row r="10" ht="30" customHeight="1">
      <c r="A10" s="10" t="inlineStr">
        <is>
          <t>Print</t>
        </is>
      </c>
      <c r="B10" s="15" t="n">
        <v>480</v>
      </c>
      <c r="C10" s="14" t="n">
        <v>0.18</v>
      </c>
      <c r="D10" s="9" t="inlineStr">
        <is>
          <t>Jagran / DB Corp ~20-25% PBDIT; metro English dailies lower. Declining revenue, real profit.</t>
        </is>
      </c>
      <c r="E10" s="15">
        <f>B10*C10</f>
        <v>86.4</v>
      </c>
      <c r="F10" s="26">
        <f>B10/$B$18</f>
        <v>0.1707577375</v>
      </c>
      <c r="G10" s="26">
        <f>E10/$E$18</f>
        <v>0.1648131545</v>
      </c>
      <c r="H10" s="27" t="inlineStr">
        <is>
          <t>India</t>
        </is>
      </c>
      <c r="I10" s="4" t="inlineStr">
        <is>
          <t>Cash cow</t>
        </is>
      </c>
    </row>
    <row r="11" ht="30" customHeight="1">
      <c r="A11" s="10" t="inlineStr">
        <is>
          <t>Filmed entertainment</t>
        </is>
      </c>
      <c r="B11" s="15" t="n">
        <v>205</v>
      </c>
      <c r="C11" s="14" t="n">
        <v>0.08</v>
      </c>
      <c r="D11" s="9" t="inlineStr">
        <is>
          <t>Volatile. Theatrical hit-driven; digital/satellite rights values fell 8-10% in 2025.</t>
        </is>
      </c>
      <c r="E11" s="15">
        <f>B11*C11</f>
        <v>16.4</v>
      </c>
      <c r="F11" s="26">
        <f>B11/$B$18</f>
        <v>0.0729277837</v>
      </c>
      <c r="G11" s="26">
        <f>E11/$E$18</f>
        <v>0.0312839784</v>
      </c>
      <c r="H11" s="27" t="inlineStr">
        <is>
          <t>India</t>
        </is>
      </c>
      <c r="I11" s="4" t="inlineStr">
        <is>
          <t>Volatile</t>
        </is>
      </c>
    </row>
    <row r="12" ht="30" customHeight="1">
      <c r="A12" s="10" t="inlineStr">
        <is>
          <t>Online gaming</t>
        </is>
      </c>
      <c r="B12" s="15" t="n">
        <v>160</v>
      </c>
      <c r="C12" s="14" t="n">
        <v>-0.1</v>
      </c>
      <c r="D12" s="9" t="inlineStr">
        <is>
          <t>Post-ban reset: real-money gaming banned Aug 2025; casual/esports profitable but small.</t>
        </is>
      </c>
      <c r="E12" s="15">
        <f>B12*C12</f>
        <v>-16.0</v>
      </c>
      <c r="F12" s="26">
        <f>B12/$B$18</f>
        <v>0.0569192458</v>
      </c>
      <c r="G12" s="26">
        <f>E12/$E$18</f>
        <v>-0.0305209545</v>
      </c>
      <c r="H12" s="27" t="inlineStr">
        <is>
          <t>India</t>
        </is>
      </c>
      <c r="I12" s="4" t="inlineStr">
        <is>
          <t>Policy shock</t>
        </is>
      </c>
    </row>
    <row r="13" ht="30" customHeight="1">
      <c r="A13" s="10" t="inlineStr">
        <is>
          <t>Live events (organised)</t>
        </is>
      </c>
      <c r="B13" s="15" t="n">
        <v>135</v>
      </c>
      <c r="C13" s="14" t="n">
        <v>0.15</v>
      </c>
      <c r="D13" s="9" t="inlineStr">
        <is>
          <t>Ticketed events and experiential - no content amortisation, high cash conversion.</t>
        </is>
      </c>
      <c r="E13" s="15">
        <f>B13*C13</f>
        <v>20.25</v>
      </c>
      <c r="F13" s="26">
        <f>B13/$B$18</f>
        <v>0.0480256137</v>
      </c>
      <c r="G13" s="26">
        <f>E13/$E$18</f>
        <v>0.0386280831</v>
      </c>
      <c r="H13" s="27" t="inlineStr">
        <is>
          <t>India</t>
        </is>
      </c>
      <c r="I13" s="4" t="inlineStr">
        <is>
          <t>Growth pool</t>
        </is>
      </c>
    </row>
    <row r="14" ht="30" customHeight="1">
      <c r="A14" s="10" t="inlineStr">
        <is>
          <t>Out-of-home media</t>
        </is>
      </c>
      <c r="B14" s="15" t="n">
        <v>50</v>
      </c>
      <c r="C14" s="14" t="n">
        <v>0.12</v>
      </c>
      <c r="D14" s="9" t="inlineStr">
        <is>
          <t>Digital OOH mix shift improving yield; site rents the main cost.</t>
        </is>
      </c>
      <c r="E14" s="15">
        <f>B14*C14</f>
        <v>6.0</v>
      </c>
      <c r="F14" s="26">
        <f>B14/$B$18</f>
        <v>0.0177872643</v>
      </c>
      <c r="G14" s="26">
        <f>E14/$E$18</f>
        <v>0.011445358</v>
      </c>
      <c r="H14" s="27" t="inlineStr">
        <is>
          <t>India</t>
        </is>
      </c>
      <c r="I14" s="4" t="inlineStr">
        <is>
          <t>Steady</t>
        </is>
      </c>
    </row>
    <row r="15" ht="30" customHeight="1">
      <c r="A15" s="10" t="inlineStr">
        <is>
          <t>Animation &amp; VFX</t>
        </is>
      </c>
      <c r="B15" s="15" t="n">
        <v>40</v>
      </c>
      <c r="C15" s="14" t="n">
        <v>0.12</v>
      </c>
      <c r="D15" s="9" t="inlineStr">
        <is>
          <t>Export-led services; margin depends on utilisation and talent cost.</t>
        </is>
      </c>
      <c r="E15" s="15">
        <f>B15*C15</f>
        <v>4.8</v>
      </c>
      <c r="F15" s="26">
        <f>B15/$B$18</f>
        <v>0.0142298115</v>
      </c>
      <c r="G15" s="26">
        <f>E15/$E$18</f>
        <v>0.0091562864</v>
      </c>
      <c r="H15" s="27" t="inlineStr">
        <is>
          <t>India</t>
        </is>
      </c>
      <c r="I15" s="4" t="inlineStr">
        <is>
          <t>Steady</t>
        </is>
      </c>
    </row>
    <row r="16" ht="30" customHeight="1">
      <c r="A16" s="10" t="inlineStr">
        <is>
          <t>Music</t>
        </is>
      </c>
      <c r="B16" s="15" t="n">
        <v>30</v>
      </c>
      <c r="C16" s="14" t="n">
        <v>0.25</v>
      </c>
      <c r="D16" s="9" t="inlineStr">
        <is>
          <t>Labels: high-margin licensing, but pricing power sits with platforms (digital licensing +2% only).</t>
        </is>
      </c>
      <c r="E16" s="15">
        <f>B16*C16</f>
        <v>7.5</v>
      </c>
      <c r="F16" s="26">
        <f>B16/$B$18</f>
        <v>0.0106723586</v>
      </c>
      <c r="G16" s="26">
        <f>E16/$E$18</f>
        <v>0.0143066974</v>
      </c>
      <c r="H16" s="27" t="inlineStr">
        <is>
          <t>India</t>
        </is>
      </c>
      <c r="I16" s="4" t="inlineStr">
        <is>
          <t>High margin, low growth</t>
        </is>
      </c>
    </row>
    <row r="17" ht="30" customHeight="1">
      <c r="A17" s="10" t="inlineStr">
        <is>
          <t>Radio</t>
        </is>
      </c>
      <c r="B17" s="15" t="n">
        <v>21</v>
      </c>
      <c r="C17" s="14" t="n">
        <v>0.22</v>
      </c>
      <c r="D17" s="9" t="inlineStr">
        <is>
          <t>ENIL-type economics: high margin, shrinking medium.</t>
        </is>
      </c>
      <c r="E17" s="15">
        <f>B17*C17</f>
        <v>4.62</v>
      </c>
      <c r="F17" s="26">
        <f>B17/$B$18</f>
        <v>0.007470651</v>
      </c>
      <c r="G17" s="26">
        <f>E17/$E$18</f>
        <v>0.0088129256</v>
      </c>
      <c r="H17" s="27" t="inlineStr">
        <is>
          <t>India</t>
        </is>
      </c>
      <c r="I17" s="4" t="inlineStr">
        <is>
          <t>Cash cow</t>
        </is>
      </c>
    </row>
    <row r="18">
      <c r="A18" s="6" t="inlineStr">
        <is>
          <t>TOTAL M&amp;E (model)</t>
        </is>
      </c>
      <c r="B18" s="7">
        <f>SUM(B5,B9:B17)</f>
        <v>2811.0</v>
      </c>
      <c r="C18" s="28">
        <f>E18/B18</f>
        <v>0.1864923515</v>
      </c>
      <c r="D18" s="8" t="n"/>
      <c r="E18" s="7">
        <f>SUM(E5,E9:E17)</f>
        <v>524.23</v>
      </c>
      <c r="F18" s="8" t="n"/>
      <c r="G18" s="8" t="n"/>
      <c r="H18" s="8" t="n"/>
      <c r="I18" s="8" t="n"/>
    </row>
    <row r="19">
      <c r="A19" s="6" t="inlineStr">
        <is>
          <t>PROFIT RETAINED IN INDIA (excl. global platforms)</t>
        </is>
      </c>
      <c r="C19" s="28">
        <f>E19/B18</f>
        <v>0.0943543223</v>
      </c>
      <c r="D19" s="29" t="inlineStr">
        <is>
          <t>This is the number a client actually cares about: which profit pools sit inside the Indian M&amp;E industry's control.</t>
        </is>
      </c>
      <c r="E19" s="7">
        <f>SUMIF(H5:H17,"India",E5:E17)</f>
        <v>265.23</v>
      </c>
    </row>
    <row r="20">
      <c r="A20" s="19" t="inlineStr">
        <is>
          <t>India-retained profit margin</t>
        </is>
      </c>
      <c r="E20" s="22">
        <f>E19/B18</f>
        <v>0.0943543223</v>
      </c>
    </row>
    <row r="21">
      <c r="A21" s="19" t="inlineStr">
        <is>
          <t>TV + Print share of India-retained profit</t>
        </is>
      </c>
      <c r="D21" s="30" t="inlineStr">
        <is>
          <t>Headline test: if this is &gt;70% while TV+Print revenue share is &lt;40% and growing ~0%, hypothesis H1 is proven.</t>
        </is>
      </c>
      <c r="E21" s="22">
        <f>(E9+E10)/E19</f>
        <v>0.8068468876</v>
      </c>
    </row>
    <row r="23">
      <c r="A23" s="19" t="inlineStr">
        <is>
          <t>CHART DATA</t>
        </is>
      </c>
      <c r="B23" s="19" t="inlineStr">
        <is>
          <t>Revenue share</t>
        </is>
      </c>
      <c r="C23" s="19" t="inlineStr">
        <is>
          <t>Profit share (all)</t>
        </is>
      </c>
    </row>
    <row r="24">
      <c r="A24" s="10" t="inlineStr">
        <is>
          <t>Digital ad - global platforms</t>
        </is>
      </c>
      <c r="B24" s="26">
        <f>B6/$B$18</f>
        <v>0.2632515119</v>
      </c>
      <c r="C24" s="26">
        <f>E6/$E$18</f>
        <v>0.4940579517</v>
      </c>
    </row>
    <row r="25">
      <c r="A25" s="10" t="inlineStr">
        <is>
          <t>Digital ad - Indian media</t>
        </is>
      </c>
      <c r="B25" s="26">
        <f>B7/$B$18</f>
        <v>0.0736392743</v>
      </c>
      <c r="C25" s="26">
        <f>E7/$E$18</f>
        <v>0.0394864849</v>
      </c>
    </row>
    <row r="26">
      <c r="A26" s="10" t="inlineStr">
        <is>
          <t>Digital subscriptions</t>
        </is>
      </c>
      <c r="B26" s="26">
        <f>B8/$B$18</f>
        <v>0.0579864817</v>
      </c>
      <c r="C26" s="26">
        <f>E8/$E$18</f>
        <v>-0.024874578</v>
      </c>
    </row>
    <row r="27">
      <c r="A27" s="10" t="inlineStr">
        <is>
          <t>Television - linear</t>
        </is>
      </c>
      <c r="B27" s="26">
        <f>B9/$B$18</f>
        <v>0.2063322661</v>
      </c>
      <c r="C27" s="26">
        <f>E9/$E$18</f>
        <v>0.2434046125</v>
      </c>
    </row>
    <row r="28">
      <c r="A28" s="10" t="inlineStr">
        <is>
          <t>Print</t>
        </is>
      </c>
      <c r="B28" s="26">
        <f>B10/$B$18</f>
        <v>0.1707577375</v>
      </c>
      <c r="C28" s="26">
        <f>E10/$E$18</f>
        <v>0.1648131545</v>
      </c>
    </row>
    <row r="29">
      <c r="A29" s="10" t="inlineStr">
        <is>
          <t>Filmed entertainment</t>
        </is>
      </c>
      <c r="B29" s="26">
        <f>B11/$B$18</f>
        <v>0.0729277837</v>
      </c>
      <c r="C29" s="26">
        <f>E11/$E$18</f>
        <v>0.0312839784</v>
      </c>
    </row>
    <row r="30">
      <c r="A30" s="10" t="inlineStr">
        <is>
          <t>Online gaming</t>
        </is>
      </c>
      <c r="B30" s="26">
        <f>B12/$B$18</f>
        <v>0.0569192458</v>
      </c>
      <c r="C30" s="26">
        <f>E12/$E$18</f>
        <v>-0.0305209545</v>
      </c>
    </row>
    <row r="31">
      <c r="A31" s="10" t="inlineStr">
        <is>
          <t>Live events (organised)</t>
        </is>
      </c>
      <c r="B31" s="26">
        <f>B13/$B$18</f>
        <v>0.0480256137</v>
      </c>
      <c r="C31" s="26">
        <f>E13/$E$18</f>
        <v>0.0386280831</v>
      </c>
    </row>
    <row r="32">
      <c r="A32" s="10" t="inlineStr">
        <is>
          <t>Out-of-home media</t>
        </is>
      </c>
      <c r="B32" s="26">
        <f>B14/$B$18</f>
        <v>0.0177872643</v>
      </c>
      <c r="C32" s="26">
        <f>E14/$E$18</f>
        <v>0.011445358</v>
      </c>
    </row>
    <row r="33">
      <c r="A33" s="10" t="inlineStr">
        <is>
          <t>Animation &amp; VFX</t>
        </is>
      </c>
      <c r="B33" s="26">
        <f>B15/$B$18</f>
        <v>0.0142298115</v>
      </c>
      <c r="C33" s="26">
        <f>E15/$E$18</f>
        <v>0.0091562864</v>
      </c>
    </row>
    <row r="34">
      <c r="A34" s="10" t="inlineStr">
        <is>
          <t>Music</t>
        </is>
      </c>
      <c r="B34" s="26">
        <f>B16/$B$18</f>
        <v>0.0106723586</v>
      </c>
      <c r="C34" s="26">
        <f>E16/$E$18</f>
        <v>0.0143066974</v>
      </c>
    </row>
    <row r="35">
      <c r="A35" s="10" t="inlineStr">
        <is>
          <t>Radio</t>
        </is>
      </c>
      <c r="B35" s="26">
        <f>B17/$B$18</f>
        <v>0.007470651</v>
      </c>
      <c r="C35" s="26">
        <f>E17/$E$18</f>
        <v>0.0088129256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selection activeCell="A1" sqref="A1"/>
    </sheetView>
  </sheetViews>
  <sheetFormatPr baseColWidth="8" defaultRowHeight="15"/>
  <cols>
    <col width="48" customWidth="1" min="1" max="1"/>
    <col width="16" customWidth="1" min="2" max="2"/>
    <col width="3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60" customWidth="1" min="9" max="9"/>
  </cols>
  <sheetData>
    <row r="1">
      <c r="A1" s="1" t="inlineStr">
        <is>
          <t>DEEP DIVE  |  OTT unit economics - what does it take to break even in India?</t>
        </is>
      </c>
    </row>
    <row r="2">
      <c r="A2" s="2" t="inlineStr">
        <is>
          <t>Illustrative numbers below are calibrated to public reporting on JioHotstar / JioStar. Replace with the real ones you can source, then state your source next to each.</t>
        </is>
      </c>
    </row>
    <row r="4" ht="20" customHeight="1">
      <c r="A4" s="31" t="inlineStr">
        <is>
          <t>INPUTS (change these)</t>
        </is>
      </c>
    </row>
    <row r="5" ht="26" customHeight="1">
      <c r="A5" s="10" t="inlineStr">
        <is>
          <t>Paid subscribers (mn)</t>
        </is>
      </c>
      <c r="B5" s="32" t="n">
        <v>300</v>
      </c>
      <c r="I5" s="9" t="inlineStr">
        <is>
          <t>JioHotstar: ~300 mn paid after the Feb-2025 IPL paywall shift (up from ~50 mn)</t>
        </is>
      </c>
    </row>
    <row r="6" ht="26" customHeight="1">
      <c r="A6" s="10" t="inlineStr">
        <is>
          <t>Blended subscription ARPU (INR / sub / month)</t>
        </is>
      </c>
      <c r="B6" s="32" t="n">
        <v>19</v>
      </c>
      <c r="I6" s="9" t="inlineStr">
        <is>
          <t>Implied: ~INR 360/sub/year vs headline mass-market pricing of ~INR 1,400-1,640/year on some plans</t>
        </is>
      </c>
    </row>
    <row r="7" ht="26" customHeight="1">
      <c r="A7" s="10" t="inlineStr">
        <is>
          <t>MAU (mn)</t>
        </is>
      </c>
      <c r="B7" s="32" t="n">
        <v>450</v>
      </c>
      <c r="I7" s="9" t="inlineStr">
        <is>
          <t>Reported ~450-500 mn monthly users</t>
        </is>
      </c>
    </row>
    <row r="8" ht="26" customHeight="1">
      <c r="A8" s="10" t="inlineStr">
        <is>
          <t>Ad revenue per MAU (INR / month)</t>
        </is>
      </c>
      <c r="B8" s="32" t="n">
        <v>6</v>
      </c>
      <c r="I8" s="9" t="inlineStr">
        <is>
          <t>Work back from reported AVOD revenue / MAU. CTV inventory earns multiples of mobile.</t>
        </is>
      </c>
    </row>
    <row r="9" ht="26" customHeight="1">
      <c r="A9" s="10" t="inlineStr">
        <is>
          <t>Content cost (INR bn / year)</t>
        </is>
      </c>
      <c r="B9" s="32" t="n">
        <v>55</v>
      </c>
      <c r="I9" s="9" t="inlineStr">
        <is>
          <t>IPL digital rights + entertainment slate + licensed international content. THE swing factor.</t>
        </is>
      </c>
    </row>
    <row r="10" ht="26" customHeight="1">
      <c r="A10" s="10" t="inlineStr">
        <is>
          <t>Marketing &amp; acquisition (INR bn / year)</t>
        </is>
      </c>
      <c r="B10" s="32" t="n">
        <v>12</v>
      </c>
      <c r="I10" s="9" t="inlineStr">
        <is>
          <t>Falls sharply once a telecom/bundle funnel is used</t>
        </is>
      </c>
    </row>
    <row r="11" ht="26" customHeight="1">
      <c r="A11" s="10" t="inlineStr">
        <is>
          <t>Tech, people, G&amp;A (INR bn / year)</t>
        </is>
      </c>
      <c r="B11" s="32" t="n">
        <v>18</v>
      </c>
      <c r="I11" s="9" t="inlineStr">
        <is>
          <t>Scale benefit is real but slow</t>
        </is>
      </c>
    </row>
    <row r="12" ht="26" customHeight="1">
      <c r="A12" s="10" t="inlineStr">
        <is>
          <t>Payment &amp; revenue share (% of subscription revenue)</t>
        </is>
      </c>
      <c r="B12" s="33" t="n">
        <v>0.04</v>
      </c>
      <c r="I12" s="9" t="inlineStr">
        <is>
          <t>App store / telco / payment gateway</t>
        </is>
      </c>
    </row>
    <row r="14">
      <c r="A14" s="31" t="inlineStr">
        <is>
          <t>OUTPUTS (formulas - do not type over)</t>
        </is>
      </c>
    </row>
    <row r="15">
      <c r="A15" s="10" t="inlineStr">
        <is>
          <t>Subscription revenue (INR bn)</t>
        </is>
      </c>
      <c r="B15" s="20">
        <f>B5*B6*12/1000</f>
        <v>68.4</v>
      </c>
    </row>
    <row r="16">
      <c r="A16" s="10" t="inlineStr">
        <is>
          <t>Advertising revenue (INR bn)</t>
        </is>
      </c>
      <c r="B16" s="20">
        <f>B7*B8*12/1000</f>
        <v>32.4</v>
      </c>
    </row>
    <row r="17">
      <c r="A17" s="10" t="inlineStr">
        <is>
          <t>Total revenue (INR bn)</t>
        </is>
      </c>
      <c r="B17" s="20">
        <f>B15+B16</f>
        <v>100.8</v>
      </c>
    </row>
    <row r="18">
      <c r="A18" s="10" t="inlineStr">
        <is>
          <t>Total cost (INR bn)</t>
        </is>
      </c>
      <c r="B18" s="20">
        <f>B9+B10+B11+B15*B12</f>
        <v>87.736</v>
      </c>
    </row>
    <row r="19">
      <c r="A19" s="10" t="inlineStr">
        <is>
          <t>EBITDA (INR bn)</t>
        </is>
      </c>
      <c r="B19" s="20">
        <f>B17-B18</f>
        <v>13.064</v>
      </c>
    </row>
    <row r="20">
      <c r="A20" s="10" t="inlineStr">
        <is>
          <t>EBITDA margin</t>
        </is>
      </c>
      <c r="B20" s="22">
        <f>B19/B17</f>
        <v>0.1296031746</v>
      </c>
    </row>
    <row r="21">
      <c r="A21" s="10" t="inlineStr">
        <is>
          <t>Content cost as % of revenue</t>
        </is>
      </c>
      <c r="B21" s="22">
        <f>B9/B17</f>
        <v>0.5456349206</v>
      </c>
    </row>
    <row r="22">
      <c r="A22" s="10" t="inlineStr">
        <is>
          <t>Revenue per paid subscriber (INR / year)</t>
        </is>
      </c>
      <c r="B22" s="20">
        <f>B17*1000/B5</f>
        <v>336.0</v>
      </c>
    </row>
    <row r="23">
      <c r="A23" s="10" t="inlineStr">
        <is>
          <t>Revenue per MAU (INR / year)</t>
        </is>
      </c>
      <c r="B23" s="20">
        <f>B17*1000/B7</f>
        <v>224.0</v>
      </c>
    </row>
    <row r="24">
      <c r="A24" s="10" t="inlineStr">
        <is>
          <t>Break-even subscribers at current cost base (mn)</t>
        </is>
      </c>
      <c r="B24" s="20">
        <f>(B18-B16)/(B6*12/1000)</f>
        <v>242.701754386</v>
      </c>
    </row>
    <row r="26">
      <c r="A26" s="31" t="inlineStr">
        <is>
          <t>SENSITIVITY  |  EBITDA (INR bn) = subscribers x ARPU</t>
        </is>
      </c>
    </row>
    <row r="27">
      <c r="A27" s="34" t="inlineStr">
        <is>
          <t>Subs (mn)  \  ARPU (INR/mo)</t>
        </is>
      </c>
      <c r="B27" s="35" t="n">
        <v>12</v>
      </c>
      <c r="C27" s="35" t="n">
        <v>19</v>
      </c>
      <c r="D27" s="35" t="n">
        <v>26</v>
      </c>
      <c r="E27" s="35" t="n">
        <v>33</v>
      </c>
      <c r="F27" s="35" t="n">
        <v>40</v>
      </c>
    </row>
    <row r="28">
      <c r="A28" s="20" t="n">
        <v>100</v>
      </c>
      <c r="B28" s="36">
        <f>($A28*B$27*12/1000)+$B$16-$B$9-$B$10-$B$11-($A28*B$27*12/1000)*$B$12</f>
        <v>-38.776</v>
      </c>
      <c r="C28" s="36">
        <f>($A28*C$27*12/1000)+$B$16-$B$9-$B$10-$B$11-($A28*C$27*12/1000)*$B$12</f>
        <v>-30.712</v>
      </c>
      <c r="D28" s="36">
        <f>($A28*D$27*12/1000)+$B$16-$B$9-$B$10-$B$11-($A28*D$27*12/1000)*$B$12</f>
        <v>-22.648</v>
      </c>
      <c r="E28" s="36">
        <f>($A28*E$27*12/1000)+$B$16-$B$9-$B$10-$B$11-($A28*E$27*12/1000)*$B$12</f>
        <v>-14.584</v>
      </c>
      <c r="F28" s="36">
        <f>($A28*F$27*12/1000)+$B$16-$B$9-$B$10-$B$11-($A28*F$27*12/1000)*$B$12</f>
        <v>-6.52</v>
      </c>
    </row>
    <row r="29">
      <c r="A29" s="20" t="n">
        <v>200</v>
      </c>
      <c r="B29" s="36">
        <f>($A29*B$27*12/1000)+$B$16-$B$9-$B$10-$B$11-($A29*B$27*12/1000)*$B$12</f>
        <v>-24.952</v>
      </c>
      <c r="C29" s="36">
        <f>($A29*C$27*12/1000)+$B$16-$B$9-$B$10-$B$11-($A29*C$27*12/1000)*$B$12</f>
        <v>-8.824</v>
      </c>
      <c r="D29" s="36">
        <f>($A29*D$27*12/1000)+$B$16-$B$9-$B$10-$B$11-($A29*D$27*12/1000)*$B$12</f>
        <v>7.304</v>
      </c>
      <c r="E29" s="36">
        <f>($A29*E$27*12/1000)+$B$16-$B$9-$B$10-$B$11-($A29*E$27*12/1000)*$B$12</f>
        <v>23.432</v>
      </c>
      <c r="F29" s="36">
        <f>($A29*F$27*12/1000)+$B$16-$B$9-$B$10-$B$11-($A29*F$27*12/1000)*$B$12</f>
        <v>39.56</v>
      </c>
    </row>
    <row r="30">
      <c r="A30" s="20" t="n">
        <v>300</v>
      </c>
      <c r="B30" s="36">
        <f>($A30*B$27*12/1000)+$B$16-$B$9-$B$10-$B$11-($A30*B$27*12/1000)*$B$12</f>
        <v>-11.128</v>
      </c>
      <c r="C30" s="36">
        <f>($A30*C$27*12/1000)+$B$16-$B$9-$B$10-$B$11-($A30*C$27*12/1000)*$B$12</f>
        <v>13.064</v>
      </c>
      <c r="D30" s="36">
        <f>($A30*D$27*12/1000)+$B$16-$B$9-$B$10-$B$11-($A30*D$27*12/1000)*$B$12</f>
        <v>37.256</v>
      </c>
      <c r="E30" s="36">
        <f>($A30*E$27*12/1000)+$B$16-$B$9-$B$10-$B$11-($A30*E$27*12/1000)*$B$12</f>
        <v>61.448</v>
      </c>
      <c r="F30" s="36">
        <f>($A30*F$27*12/1000)+$B$16-$B$9-$B$10-$B$11-($A30*F$27*12/1000)*$B$12</f>
        <v>85.64</v>
      </c>
    </row>
    <row r="31">
      <c r="A31" s="20" t="n">
        <v>400</v>
      </c>
      <c r="B31" s="36">
        <f>($A31*B$27*12/1000)+$B$16-$B$9-$B$10-$B$11-($A31*B$27*12/1000)*$B$12</f>
        <v>2.696</v>
      </c>
      <c r="C31" s="36">
        <f>($A31*C$27*12/1000)+$B$16-$B$9-$B$10-$B$11-($A31*C$27*12/1000)*$B$12</f>
        <v>34.952</v>
      </c>
      <c r="D31" s="36">
        <f>($A31*D$27*12/1000)+$B$16-$B$9-$B$10-$B$11-($A31*D$27*12/1000)*$B$12</f>
        <v>67.208</v>
      </c>
      <c r="E31" s="36">
        <f>($A31*E$27*12/1000)+$B$16-$B$9-$B$10-$B$11-($A31*E$27*12/1000)*$B$12</f>
        <v>99.464</v>
      </c>
      <c r="F31" s="36">
        <f>($A31*F$27*12/1000)+$B$16-$B$9-$B$10-$B$11-($A31*F$27*12/1000)*$B$12</f>
        <v>131.72</v>
      </c>
    </row>
    <row r="32">
      <c r="A32" s="20" t="n">
        <v>500</v>
      </c>
      <c r="B32" s="36">
        <f>($A32*B$27*12/1000)+$B$16-$B$9-$B$10-$B$11-($A32*B$27*12/1000)*$B$12</f>
        <v>16.52</v>
      </c>
      <c r="C32" s="36">
        <f>($A32*C$27*12/1000)+$B$16-$B$9-$B$10-$B$11-($A32*C$27*12/1000)*$B$12</f>
        <v>56.84</v>
      </c>
      <c r="D32" s="36">
        <f>($A32*D$27*12/1000)+$B$16-$B$9-$B$10-$B$11-($A32*D$27*12/1000)*$B$12</f>
        <v>97.16</v>
      </c>
      <c r="E32" s="36">
        <f>($A32*E$27*12/1000)+$B$16-$B$9-$B$10-$B$11-($A32*E$27*12/1000)*$B$12</f>
        <v>137.48</v>
      </c>
      <c r="F32" s="36">
        <f>($A32*F$27*12/1000)+$B$16-$B$9-$B$10-$B$11-($A32*F$27*12/1000)*$B$12</f>
        <v>177.8</v>
      </c>
    </row>
    <row r="33">
      <c r="A33" s="37" t="inlineStr">
        <is>
          <t>Green = positive EBITDA. Content cost is held FIXED here - ask yourself whether that is realistic when you add subscribers.</t>
        </is>
      </c>
      <c r="B33" s="24" t="n"/>
      <c r="C33" s="24" t="n"/>
      <c r="D33" s="24" t="n"/>
      <c r="E33" s="24" t="n"/>
      <c r="F33" s="24" t="n"/>
      <c r="G33" s="24" t="n"/>
      <c r="H33" s="24" t="n"/>
      <c r="I33" s="25" t="n"/>
    </row>
  </sheetData>
  <mergeCells count="1">
    <mergeCell ref="A33:I3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6" customWidth="1" min="1" max="1"/>
    <col width="62" customWidth="1" min="2" max="2"/>
    <col width="52" customWidth="1" min="3" max="3"/>
    <col width="34" customWidth="1" min="4" max="4"/>
    <col width="46" customWidth="1" min="5" max="5"/>
    <col width="12" customWidth="1" min="6" max="6"/>
    <col width="12" customWidth="1" min="7" max="7"/>
  </cols>
  <sheetData>
    <row r="1">
      <c r="A1" s="1" t="inlineStr">
        <is>
          <t>INSIGHT LEDGER  |  every insight needs evidence, a source and a 'so what'</t>
        </is>
      </c>
    </row>
    <row r="3" ht="28" customHeight="1">
      <c r="A3" s="5" t="inlineStr">
        <is>
          <t>#</t>
        </is>
      </c>
      <c r="B3" s="5" t="inlineStr">
        <is>
          <t>Insight (one line, sharp)</t>
        </is>
      </c>
      <c r="C3" s="5" t="inlineStr">
        <is>
          <t>Evidence / data</t>
        </is>
      </c>
      <c r="D3" s="5" t="inlineStr">
        <is>
          <t>Source + date</t>
        </is>
      </c>
      <c r="E3" s="5" t="inlineStr">
        <is>
          <t>So-what for the client</t>
        </is>
      </c>
      <c r="F3" s="5" t="inlineStr">
        <is>
          <t>Confidence</t>
        </is>
      </c>
      <c r="G3" s="5" t="inlineStr">
        <is>
          <t>Status</t>
        </is>
      </c>
    </row>
    <row r="4" ht="62" customHeight="1">
      <c r="A4" s="38" t="n">
        <v>1</v>
      </c>
      <c r="B4" s="39" t="inlineStr">
        <is>
          <t>Revenue growth and profit have decoupled: the fastest-growing segments are not where the money is.</t>
        </is>
      </c>
      <c r="C4" s="9" t="inlineStr">
        <is>
          <t>Digital +30.5% and live events +44% in 2025, while TV and print - 38% of revenue - grow ~0-2% but hold the bulk of India-retained profit.</t>
        </is>
      </c>
      <c r="D4" s="9" t="inlineStr">
        <is>
          <t>FICCI-EY 2026 (Mar-2026); company filings</t>
        </is>
      </c>
      <c r="E4" s="9" t="inlineStr">
        <is>
          <t>A client that chases growth without a profit map will fund the wrong pool for 3 years.</t>
        </is>
      </c>
      <c r="F4" s="38" t="inlineStr">
        <is>
          <t>H</t>
        </is>
      </c>
      <c r="G4" s="40" t="inlineStr">
        <is>
          <t>To validate</t>
        </is>
      </c>
    </row>
    <row r="5" ht="62" customHeight="1">
      <c r="A5" s="38" t="n">
        <v>2</v>
      </c>
      <c r="B5" s="39" t="inlineStr">
        <is>
          <t>A quarter of India's M&amp;E revenue is a profit pool that leaves the country.</t>
        </is>
      </c>
      <c r="C5" s="9" t="inlineStr">
        <is>
          <t>Digital ad = INR 947 bn, 63% of all ad spend, dominated by search + social (global platforms). Estimated INR 740 bn accrues to non-Indian platforms.</t>
        </is>
      </c>
      <c r="D5" s="9" t="inlineStr">
        <is>
          <t>FICCI-EY 2026 + GroupM/WPP ad-spend splits (rebuild this)</t>
        </is>
      </c>
      <c r="E5" s="9" t="inlineStr">
        <is>
          <t>For an Indian broadcaster, the addressable profit pool is far smaller than the headline M&amp;E number suggests. Sizing must be net of exported profit.</t>
        </is>
      </c>
      <c r="F5" s="38" t="inlineStr">
        <is>
          <t>M</t>
        </is>
      </c>
      <c r="G5" s="40" t="inlineStr">
        <is>
          <t>Must rebuild</t>
        </is>
      </c>
    </row>
    <row r="6" ht="62" customHeight="1">
      <c r="A6" s="38" t="n">
        <v>3</v>
      </c>
      <c r="B6" s="39" t="inlineStr">
        <is>
          <t>An entire profit pool was legislated to zero in four months.</t>
        </is>
      </c>
      <c r="C6" s="9" t="inlineStr">
        <is>
          <t>Online Gaming Act 2025 banned real-money gaming from 22 Aug 2025; RMG was ~83% of a INR 220 bn (2023) segment and ~50% of platform EBITDA was already gone after the 2023 GST change.</t>
        </is>
      </c>
      <c r="D6" s="9" t="inlineStr">
        <is>
          <t>Online Gaming Act 2025; GST Council / Taxmann; Lumikai</t>
        </is>
      </c>
      <c r="E6" s="9" t="inlineStr">
        <is>
          <t>Regulatory risk is now the #1 line item in any M&amp;E investment case. Screen for policy exposure before content exposure.</t>
        </is>
      </c>
      <c r="F6" s="38" t="inlineStr">
        <is>
          <t>H</t>
        </is>
      </c>
      <c r="G6" s="40" t="inlineStr">
        <is>
          <t>To validate</t>
        </is>
      </c>
    </row>
    <row r="7" ht="62" customHeight="1">
      <c r="A7" s="38" t="n">
        <v>4</v>
      </c>
      <c r="B7" s="39" t="inlineStr">
        <is>
          <t>Inside 'TV', the growth is CTV - not linear.</t>
        </is>
      </c>
      <c r="C7" s="9" t="inlineStr">
        <is>
          <t>Linear TV ad revenue -10% to INR 263 bn; pay-TV homes -11 mn; but CTV units up to 40 mn and CTV ad revenue +42% to INR 99 bn. Combined linear + CTV ad revenue was FLAT at INR 362 bn.</t>
        </is>
      </c>
      <c r="D7" s="9" t="inlineStr">
        <is>
          <t>FICCI-EY 2026; WPP Media TYNY (Dec-2025)</t>
        </is>
      </c>
      <c r="E7" s="9" t="inlineStr">
        <is>
          <t>The budget is not leaving TV - it is moving to the premium end of the same screen. Defend the CTV shelf, not the GRP.</t>
        </is>
      </c>
      <c r="F7" s="38" t="inlineStr">
        <is>
          <t>H</t>
        </is>
      </c>
      <c r="G7" s="40" t="inlineStr">
        <is>
          <t>To validate</t>
        </is>
      </c>
    </row>
    <row r="8" ht="62" customHeight="1">
      <c r="A8" s="38" t="n">
        <v>5</v>
      </c>
      <c r="B8" s="39" t="inlineStr">
        <is>
          <t>Streaming's paying base grew 61% in revenue terms, yet per-user economics stay hostile.</t>
        </is>
      </c>
      <c r="C8" s="9" t="inlineStr">
        <is>
          <t>Video subscription revenue INR 148 bn (+61%), 143 mn paying households / 216 mn subscriptions - but blended SVOD ARPU is ~USD 0.5-2.5 per month against Hollywood-grade content costs.</t>
        </is>
      </c>
      <c r="D8" s="9" t="inlineStr">
        <is>
          <t>FICCI-EY 2026; HSBC note via India Dispatch (Jan-2026)</t>
        </is>
      </c>
      <c r="E8" s="9" t="inlineStr">
        <is>
          <t>In India you cannot buy your way to scale on content alone. Distribution bundling + sport + advertising is the only route to a margin.</t>
        </is>
      </c>
      <c r="F8" s="38" t="inlineStr">
        <is>
          <t>H</t>
        </is>
      </c>
      <c r="G8" s="40" t="inlineStr">
        <is>
          <t>To validate</t>
        </is>
      </c>
    </row>
    <row r="9" ht="62" customHeight="1">
      <c r="A9" s="38" t="n">
        <v>6</v>
      </c>
      <c r="B9" s="39" t="inlineStr">
        <is>
          <t>The windowing system quietly broke, and the film business is being repriced.</t>
        </is>
      </c>
      <c r="C9" s="9" t="inlineStr">
        <is>
          <t>Theatrical revenue hit a record INR 205 bn (+14-16%) on higher ticket prices while digital rights fell 8% and satellite rights fell 10%. 37 films crossed INR 1 bn.</t>
        </is>
      </c>
      <c r="D9" s="9" t="inlineStr">
        <is>
          <t>FICCI-EY 2026; Variety (Apr-2026)</t>
        </is>
      </c>
      <c r="E9" s="9" t="inlineStr">
        <is>
          <t>Studios that priced slates on OTT pre-sales are now exposed. Renegotiate rights deals on theatrical performance, not on slate volume.</t>
        </is>
      </c>
      <c r="F9" s="38" t="inlineStr">
        <is>
          <t>H</t>
        </is>
      </c>
      <c r="G9" s="40" t="inlineStr">
        <is>
          <t>To validate</t>
        </is>
      </c>
    </row>
    <row r="10" ht="62" customHeight="1">
      <c r="A10" s="38" t="n">
        <v>7</v>
      </c>
      <c r="B10" s="39" t="inlineStr">
        <is>
          <t>The highest-margin new pool is the one with no content cost: live experiences.</t>
        </is>
      </c>
      <c r="C10" s="9" t="inlineStr">
        <is>
          <t>Organised live events +44% to ~USD 1.55 bn, driven by ticketed events, weddings, government and religious gatherings; concert days (10k+ audience) to rise from 130 to 200+ by 2028.</t>
        </is>
      </c>
      <c r="D10" s="9" t="inlineStr">
        <is>
          <t>FICCI-EY 2026; Variety (Apr-2026)</t>
        </is>
      </c>
      <c r="E10" s="9" t="inlineStr">
        <is>
          <t>Capital-light, cash-generative, and under-penetrated beyond 8 metros. Best risk-adjusted use of a broadcaster's brand and inventory.</t>
        </is>
      </c>
      <c r="F10" s="38" t="inlineStr">
        <is>
          <t>H</t>
        </is>
      </c>
      <c r="G10" s="40" t="inlineStr">
        <is>
          <t>To validate</t>
        </is>
      </c>
    </row>
    <row r="11" ht="62" customHeight="1">
      <c r="A11" s="38" t="n">
        <v>8</v>
      </c>
      <c r="B11" s="39" t="inlineStr">
        <is>
          <t>The real growth engine is vernacular, not Hindi.</t>
        </is>
      </c>
      <c r="C11" s="9" t="inlineStr">
        <is>
          <t>Regional languages went from 27% (2020) to 56% of OTT consumption by 2025; regional cinema is &gt;65% of films produced. JioStar is deploying ~INR 40 bn into South Indian content.</t>
        </is>
      </c>
      <c r="D11" s="9" t="inlineStr">
        <is>
          <t>FICCI-EY 2026; Reliance disclosures</t>
        </is>
      </c>
      <c r="E11" s="9" t="inlineStr">
        <is>
          <t>Content investment should be allocated by language-market profitability, not by national reach. Hindi is the most contested, least differentiated pool.</t>
        </is>
      </c>
      <c r="F11" s="38" t="inlineStr">
        <is>
          <t>H</t>
        </is>
      </c>
      <c r="G11" s="40" t="inlineStr">
        <is>
          <t>To validate</t>
        </is>
      </c>
    </row>
    <row r="13">
      <c r="A13" s="19" t="inlineStr">
        <is>
          <t>RULE</t>
        </is>
      </c>
      <c r="B13" s="41" t="inlineStr">
        <is>
          <t>If an insight has no number, no source and no so-what, it does not go in the deck. That is the whole discipline.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cols>
    <col width="34" customWidth="1" min="1" max="1"/>
    <col width="74" customWidth="1" min="2" max="2"/>
    <col width="62" customWidth="1" min="3" max="3"/>
    <col width="26" customWidth="1" min="4" max="4"/>
  </cols>
  <sheetData>
    <row r="1">
      <c r="A1" s="1" t="inlineStr">
        <is>
          <t>SOURCE LIBRARY  |  what to pull from where</t>
        </is>
      </c>
    </row>
    <row r="3" ht="24" customHeight="1">
      <c r="A3" s="42" t="inlineStr">
        <is>
          <t>Source</t>
        </is>
      </c>
      <c r="B3" s="42" t="inlineStr">
        <is>
          <t>Link</t>
        </is>
      </c>
      <c r="C3" s="42" t="inlineStr">
        <is>
          <t>What to pull</t>
        </is>
      </c>
      <c r="D3" s="42" t="inlineStr">
        <is>
          <t>Frequency / date</t>
        </is>
      </c>
    </row>
    <row r="4" ht="34" customHeight="1">
      <c r="A4" s="43" t="inlineStr">
        <is>
          <t>FICCI-EY 2026 M&amp;E report (EY page)</t>
        </is>
      </c>
      <c r="B4" s="44" t="inlineStr">
        <is>
          <t>https://www.ey.com/en_in/insights/media-entertainment/stories-scale-and-impact-unlocking-india-s-m-e-economy</t>
        </is>
      </c>
      <c r="C4" s="9" t="inlineStr">
        <is>
          <t>Segment revenue 2025, ad splits, projections to 2028, regional share, CTV numbers. THE anchor document.</t>
        </is>
      </c>
      <c r="D4" s="23" t="inlineStr">
        <is>
          <t>Annual (Mar-2026)</t>
        </is>
      </c>
    </row>
    <row r="5" ht="34" customHeight="1">
      <c r="A5" s="43" t="inlineStr">
        <is>
          <t>FICCI-EY 2026 - full report PDF (mirror)</t>
        </is>
      </c>
      <c r="B5" s="44" t="inlineStr">
        <is>
          <t>https://aidcf.com/wp-content/uploads/FICCI-EY-Media-and-Entertainment-Report-2026_reduced.pdf</t>
        </is>
      </c>
      <c r="C5" s="9" t="inlineStr">
        <is>
          <t>Page-level detail: digital ad by advertiser type, sub revenue splits, live events, gaming commentary.</t>
        </is>
      </c>
      <c r="D5" s="23" t="inlineStr">
        <is>
          <t>Mar-2026</t>
        </is>
      </c>
    </row>
    <row r="6" ht="34" customHeight="1">
      <c r="A6" s="43" t="inlineStr">
        <is>
          <t>FICCI-EY 2024 report PDF</t>
        </is>
      </c>
      <c r="B6" s="44" t="inlineStr">
        <is>
          <t>https://animationxpress.com/wp-content/uploads/2024/03/Ficci-EY-India-s-media-entertainment-sector-is-innovating-for-the-future-2024-3.pdf</t>
        </is>
      </c>
      <c r="C6" s="9" t="inlineStr">
        <is>
          <t>Historical FY20 / FY23 anchors for your back-cast column.</t>
        </is>
      </c>
      <c r="D6" s="23" t="inlineStr">
        <is>
          <t>Mar-2024</t>
        </is>
      </c>
    </row>
    <row r="7" ht="34" customHeight="1">
      <c r="A7" s="43" t="inlineStr">
        <is>
          <t>EY newsroom press release</t>
        </is>
      </c>
      <c r="B7" s="44" t="inlineStr">
        <is>
          <t>https://www.ey.com/en_in/newsroom/2026/03/india-s-media-and-entertainment-sector-grew-9-percent-to-inr-2-point-78-trillion-in-2025-driven-by-digital-and-live-experiences-ficci-ey-report</t>
        </is>
      </c>
      <c r="C7" s="9" t="inlineStr">
        <is>
          <t>Clean citable headline stats with dates.</t>
        </is>
      </c>
      <c r="D7" s="23" t="inlineStr">
        <is>
          <t>Mar-2026</t>
        </is>
      </c>
    </row>
    <row r="8" ht="34" customHeight="1">
      <c r="A8" s="43" t="inlineStr">
        <is>
          <t>Reliance Industries quarterly results (JioStar)</t>
        </is>
      </c>
      <c r="B8" s="44" t="inlineStr">
        <is>
          <t>https://www.ril.com/investors/financial-reporting</t>
        </is>
      </c>
      <c r="C8" s="9" t="inlineStr">
        <is>
          <t>JioStar revenue, EBITDA, PAT by quarter - the only listed window into Indian OTT economics at scale.</t>
        </is>
      </c>
      <c r="D8" s="23" t="inlineStr">
        <is>
          <t>Quarterly</t>
        </is>
      </c>
    </row>
    <row r="9" ht="34" customHeight="1">
      <c r="A9" s="43" t="inlineStr">
        <is>
          <t>Netflix 10-K / quarterly + India commentary</t>
        </is>
      </c>
      <c r="B9" s="44" t="inlineStr">
        <is>
          <t>https://ir.netflix.net/financials/quarterly-earnings/default.aspx</t>
        </is>
      </c>
      <c r="C9" s="9" t="inlineStr">
        <is>
          <t>Global margins, ad-tier commentary, ARPU philosophy for the premium niche.</t>
        </is>
      </c>
      <c r="D9" s="23" t="inlineStr">
        <is>
          <t>Quarterly</t>
        </is>
      </c>
    </row>
    <row r="10" ht="34" customHeight="1">
      <c r="A10" s="43" t="inlineStr">
        <is>
          <t>Sony Group / SonyLIV, Zee Entertainment, Sun TV, TV18 filings</t>
        </is>
      </c>
      <c r="B10" s="44" t="inlineStr">
        <is>
          <t>https://www.bseindia.com/  and  https://www.nseindia.com/</t>
        </is>
      </c>
      <c r="C10" s="9" t="inlineStr">
        <is>
          <t>Segment-level PBDIT margins = your bottom-up margin inputs on sheet 2.</t>
        </is>
      </c>
      <c r="D10" s="23" t="inlineStr">
        <is>
          <t>Quarterly / annual</t>
        </is>
      </c>
    </row>
    <row r="11" ht="34" customHeight="1">
      <c r="A11" s="43" t="inlineStr">
        <is>
          <t>Print + radio comps: DB Corp, Jagran, HT Media, ENIL</t>
        </is>
      </c>
      <c r="B11" s="44" t="inlineStr">
        <is>
          <t>https://www.bseindia.com/</t>
        </is>
      </c>
      <c r="C11" s="9" t="inlineStr">
        <is>
          <t>Proves the 'declining medium, real profit' point with audited numbers.</t>
        </is>
      </c>
      <c r="D11" s="23" t="inlineStr">
        <is>
          <t>Annual</t>
        </is>
      </c>
    </row>
    <row r="12" ht="34" customHeight="1">
      <c r="A12" s="43" t="inlineStr">
        <is>
          <t>Tracxn / Tofler / MCA (private players)</t>
        </is>
      </c>
      <c r="B12" s="44" t="inlineStr">
        <is>
          <t>https://tracxn.com/  and  https://www.tofler.in/</t>
        </is>
      </c>
      <c r="C12" s="9" t="inlineStr">
        <is>
          <t>Revenue and losses for private OTTs (aha, Hoichoi, ZEE5 entities) - useful but treat as secondary.</t>
        </is>
      </c>
      <c r="D12" s="23" t="inlineStr">
        <is>
          <t>Annual</t>
        </is>
      </c>
    </row>
    <row r="13" ht="34" customHeight="1">
      <c r="A13" s="43" t="inlineStr">
        <is>
          <t>HSBC note coverage via India Dispatch</t>
        </is>
      </c>
      <c r="B13" s="44" t="inlineStr">
        <is>
          <t>https://indiadispatch.com/p/netflix-said-to-have-20-million-paying</t>
        </is>
      </c>
      <c r="C13" s="9" t="inlineStr">
        <is>
          <t>Netflix India ~20 mn subs, ~USD 905 mn revenue, low single digit pretax margin; Prime India ~65 mn.</t>
        </is>
      </c>
      <c r="D13" s="23" t="inlineStr">
        <is>
          <t>Jan-2026</t>
        </is>
      </c>
    </row>
    <row r="14" ht="34" customHeight="1">
      <c r="A14" s="43" t="inlineStr">
        <is>
          <t>WPP Media TYNY (ad spend outlook)</t>
        </is>
      </c>
      <c r="B14" s="44" t="inlineStr">
        <is>
          <t>https://bestmediainfo.com/mediainfo/advertising/retail-media-and-ctv-to-power-indias-rs-2-lakh-crore-adex-in-2026-wpp-media-tyny-10890683</t>
        </is>
      </c>
      <c r="C14" s="9" t="inlineStr">
        <is>
          <t>2026 adex forecast, retail media, CTV share of TV spend - for triangulating the digital ad split.</t>
        </is>
      </c>
      <c r="D14" s="23" t="inlineStr">
        <is>
          <t>Dec-2025</t>
        </is>
      </c>
    </row>
    <row r="15" ht="34" customHeight="1">
      <c r="A15" s="43" t="inlineStr">
        <is>
          <t>Lumikai State of India Gaming</t>
        </is>
      </c>
      <c r="B15" s="44" t="inlineStr">
        <is>
          <t>https://lumikai.com/</t>
        </is>
      </c>
      <c r="C15" s="9" t="inlineStr">
        <is>
          <t>Gaming segment rebuild post RMG ban: users, paying users, revenue split casual vs RMG.</t>
        </is>
      </c>
      <c r="D15" s="23" t="inlineStr">
        <is>
          <t>Annual</t>
        </is>
      </c>
    </row>
    <row r="16" ht="34" customHeight="1">
      <c r="A16" s="43" t="inlineStr">
        <is>
          <t>Online Gaming Act 2025 + GST commentary</t>
        </is>
      </c>
      <c r="B16" s="44" t="inlineStr">
        <is>
          <t>https://cleartax.in/s/gst-on-online-gaming</t>
        </is>
      </c>
      <c r="C16" s="9" t="inlineStr">
        <is>
          <t>Exact dates and mechanics of the policy shock (28% GST from 1-Oct-2023 on full face value; ban from 22-Aug-2025).</t>
        </is>
      </c>
      <c r="D16" s="23" t="inlineStr">
        <is>
          <t>2025</t>
        </is>
      </c>
    </row>
    <row r="17" ht="34" customHeight="1">
      <c r="A17" s="43" t="inlineStr">
        <is>
          <t>Ormax / MICA OTT audience reports</t>
        </is>
      </c>
      <c r="B17" s="44" t="inlineStr">
        <is>
          <t>https://www.ormaxmedia.com/</t>
        </is>
      </c>
      <c r="C17" s="9" t="inlineStr">
        <is>
          <t>Paying households, platform-level subscriber shares, category-level viewership.</t>
        </is>
      </c>
      <c r="D17" s="23" t="inlineStr">
        <is>
          <t>Annual / quarterly</t>
        </is>
      </c>
    </row>
    <row r="18" ht="34" customHeight="1">
      <c r="A18" s="43" t="inlineStr">
        <is>
          <t>Comscore / SimilarWeb</t>
        </is>
      </c>
      <c r="B18" s="44" t="inlineStr">
        <is>
          <t>https://www.comscore.com/</t>
        </is>
      </c>
      <c r="C18" s="9" t="inlineStr">
        <is>
          <t>MAU and time-spent per platform for the OTT deep dive.</t>
        </is>
      </c>
      <c r="D18" s="23" t="inlineStr">
        <is>
          <t>Monthly</t>
        </is>
      </c>
    </row>
    <row r="19" ht="34" customHeight="1">
      <c r="A19" s="43" t="inlineStr">
        <is>
          <t>Box office: Sacnilk / Box Office India / Variety</t>
        </is>
      </c>
      <c r="B19" s="44" t="inlineStr">
        <is>
          <t>https://www.sacnilk.com/</t>
        </is>
      </c>
      <c r="C19" s="9" t="inlineStr">
        <is>
          <t>Theatrical collections, ticket price vs footfall split - the film repricing story.</t>
        </is>
      </c>
      <c r="D19" s="23" t="inlineStr">
        <is>
          <t>Weekly</t>
        </is>
      </c>
    </row>
    <row r="20" ht="34" customHeight="1">
      <c r="A20" s="43" t="inlineStr">
        <is>
          <t>Bain M&amp;E practice thought leadership</t>
        </is>
      </c>
      <c r="B20" s="44" t="inlineStr">
        <is>
          <t>https://www.bain.com/industry-specialties/media-entertainment/</t>
        </is>
      </c>
      <c r="C20" s="9" t="inlineStr">
        <is>
          <t>Vocabulary, framings and the questions Bain's own practice asks. Mirror their language in your deck.</t>
        </is>
      </c>
      <c r="D20" s="23" t="inlineStr">
        <is>
          <t>Ongoing</t>
        </is>
      </c>
    </row>
  </sheetData>
  <hyperlinks>
    <hyperlink xmlns:r="http://schemas.openxmlformats.org/officeDocument/2006/relationships" ref="B4" r:id="rId1"/>
    <hyperlink xmlns:r="http://schemas.openxmlformats.org/officeDocument/2006/relationships" ref="B5" r:id="rId2"/>
    <hyperlink xmlns:r="http://schemas.openxmlformats.org/officeDocument/2006/relationships" ref="B6" r:id="rId3"/>
    <hyperlink xmlns:r="http://schemas.openxmlformats.org/officeDocument/2006/relationships" ref="B7" r:id="rId4"/>
    <hyperlink xmlns:r="http://schemas.openxmlformats.org/officeDocument/2006/relationships" ref="B8" r:id="rId5"/>
    <hyperlink xmlns:r="http://schemas.openxmlformats.org/officeDocument/2006/relationships" ref="B9" r:id="rId6"/>
    <hyperlink xmlns:r="http://schemas.openxmlformats.org/officeDocument/2006/relationships" ref="B10" r:id="rId7"/>
    <hyperlink xmlns:r="http://schemas.openxmlformats.org/officeDocument/2006/relationships" ref="B11" r:id="rId8"/>
    <hyperlink xmlns:r="http://schemas.openxmlformats.org/officeDocument/2006/relationships" ref="B12" r:id="rId9"/>
    <hyperlink xmlns:r="http://schemas.openxmlformats.org/officeDocument/2006/relationships" ref="B13" r:id="rId10"/>
    <hyperlink xmlns:r="http://schemas.openxmlformats.org/officeDocument/2006/relationships" ref="B14" r:id="rId11"/>
    <hyperlink xmlns:r="http://schemas.openxmlformats.org/officeDocument/2006/relationships" ref="B15" r:id="rId12"/>
    <hyperlink xmlns:r="http://schemas.openxmlformats.org/officeDocument/2006/relationships" ref="B16" r:id="rId13"/>
    <hyperlink xmlns:r="http://schemas.openxmlformats.org/officeDocument/2006/relationships" ref="B17" r:id="rId14"/>
    <hyperlink xmlns:r="http://schemas.openxmlformats.org/officeDocument/2006/relationships" ref="B18" r:id="rId15"/>
    <hyperlink xmlns:r="http://schemas.openxmlformats.org/officeDocument/2006/relationships" ref="B19" r:id="rId16"/>
    <hyperlink xmlns:r="http://schemas.openxmlformats.org/officeDocument/2006/relationships" ref="B20" r:id="rId17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40" customWidth="1" min="1" max="1"/>
    <col width="16" customWidth="1" min="2" max="2"/>
    <col width="16" customWidth="1" min="3" max="3"/>
    <col width="16" customWidth="1" min="4" max="4"/>
    <col width="60" customWidth="1" min="5" max="5"/>
  </cols>
  <sheetData>
    <row r="1">
      <c r="A1" s="1" t="inlineStr">
        <is>
          <t>HISTORICAL ANCHORS  |  cited data points to build your FY20 / FY23 back-cast</t>
        </is>
      </c>
    </row>
    <row r="3">
      <c r="A3" s="42" t="inlineStr">
        <is>
          <t>Metric</t>
        </is>
      </c>
      <c r="B3" s="42" t="inlineStr">
        <is>
          <t>FY22</t>
        </is>
      </c>
      <c r="C3" s="42" t="inlineStr">
        <is>
          <t>FY23</t>
        </is>
      </c>
      <c r="D3" s="42" t="inlineStr">
        <is>
          <t>FY24</t>
        </is>
      </c>
      <c r="E3" s="42" t="inlineStr">
        <is>
          <t>Source note</t>
        </is>
      </c>
    </row>
    <row r="4" ht="30" customHeight="1">
      <c r="A4" s="39" t="inlineStr">
        <is>
          <t>India M&amp;E total (INR bn)</t>
        </is>
      </c>
      <c r="B4" s="45" t="n"/>
      <c r="C4" s="16" t="n">
        <v>2300</v>
      </c>
      <c r="D4" s="16" t="n">
        <v>2550</v>
      </c>
      <c r="E4" s="9" t="inlineStr">
        <is>
          <t>2023: INR 2.3 trillion (FICCI-EY 2024). 2024: derived - INR 2,780 bn / 1.09 = ~INR 2,550 bn (FICCI-EY 2026)</t>
        </is>
      </c>
    </row>
    <row r="5" ht="30" customHeight="1">
      <c r="A5" s="39" t="inlineStr">
        <is>
          <t>Digital advertising (INR bn)</t>
        </is>
      </c>
      <c r="B5" s="45" t="n"/>
      <c r="C5" s="16" t="n">
        <v>576</v>
      </c>
      <c r="D5" s="16" t="n">
        <v>749</v>
      </c>
      <c r="E5" s="9" t="inlineStr">
        <is>
          <t>2023 FICCI-EY 2024 report; 2024 &amp; 2025 from FICCI-EY 2026 chart (749 / 947)</t>
        </is>
      </c>
    </row>
    <row r="6" ht="30" customHeight="1">
      <c r="A6" s="39" t="inlineStr">
        <is>
          <t>Digital subscription (INR bn)</t>
        </is>
      </c>
      <c r="B6" s="45" t="n"/>
      <c r="C6" s="16" t="n"/>
      <c r="D6" s="16" t="n">
        <v>102</v>
      </c>
      <c r="E6" s="9" t="inlineStr">
        <is>
          <t>2024 = 102 (FICCI-EY 2026 chart); 2025 = 163</t>
        </is>
      </c>
    </row>
    <row r="7" ht="30" customHeight="1">
      <c r="A7" s="39" t="inlineStr">
        <is>
          <t>TV advertising - linear (INR bn)</t>
        </is>
      </c>
      <c r="B7" s="45" t="n"/>
      <c r="C7" s="16" t="n">
        <v>330</v>
      </c>
      <c r="D7" s="16" t="n">
        <v>292</v>
      </c>
      <c r="E7" s="9" t="inlineStr">
        <is>
          <t>2023 FICCI-EY 2024; 2025 = 263 (Statista/EY, -10%) - implied 2024 ~292</t>
        </is>
      </c>
    </row>
    <row r="8" ht="30" customHeight="1">
      <c r="A8" s="39" t="inlineStr">
        <is>
          <t>Print advertising (INR bn)</t>
        </is>
      </c>
      <c r="B8" s="45" t="n"/>
      <c r="C8" s="16" t="n">
        <v>297</v>
      </c>
      <c r="D8" s="16" t="n"/>
      <c r="E8" s="9" t="inlineStr">
        <is>
          <t>2023 = 297 (FICCI-EY 2024). Note definitional differences vs later vintages - flag it</t>
        </is>
      </c>
    </row>
    <row r="9" ht="30" customHeight="1">
      <c r="A9" s="39" t="inlineStr">
        <is>
          <t>Filmed entertainment (INR bn)</t>
        </is>
      </c>
      <c r="B9" s="45" t="n"/>
      <c r="C9" s="16" t="n">
        <v>197</v>
      </c>
      <c r="D9" s="16" t="n"/>
      <c r="E9" s="9" t="inlineStr">
        <is>
          <t>2023 = 197 (FICCI-EY 2024); 2025 = 205 (record)</t>
        </is>
      </c>
    </row>
    <row r="10" ht="30" customHeight="1">
      <c r="A10" s="39" t="inlineStr">
        <is>
          <t>Online gaming (INR bn)</t>
        </is>
      </c>
      <c r="B10" s="45" t="n"/>
      <c r="C10" s="16" t="n">
        <v>220</v>
      </c>
      <c r="D10" s="16" t="n"/>
      <c r="E10" s="9" t="inlineStr">
        <is>
          <t>2023 = 220 (FICCI-EY 2024). Pre-ban 2026E was projected at 388 - now invalidated. Rebuild</t>
        </is>
      </c>
    </row>
    <row r="11" ht="30" customHeight="1">
      <c r="A11" s="39" t="inlineStr">
        <is>
          <t>Radio (INR bn)</t>
        </is>
      </c>
      <c r="B11" s="45" t="n"/>
      <c r="C11" s="16" t="n">
        <v>23</v>
      </c>
      <c r="D11" s="16" t="n"/>
      <c r="E11" s="9" t="inlineStr">
        <is>
          <t>2023 = 23 (FICCI-EY 2024); 2025 = ~21 (USD 245 mn, -7%)</t>
        </is>
      </c>
    </row>
    <row r="12" ht="30" customHeight="1">
      <c r="A12" s="39" t="inlineStr">
        <is>
          <t>Total advertising (INR bn)</t>
        </is>
      </c>
      <c r="B12" s="45" t="n"/>
      <c r="C12" s="16" t="n"/>
      <c r="D12" s="16" t="n">
        <v>1320</v>
      </c>
      <c r="E12" s="9" t="inlineStr">
        <is>
          <t>2025 = INR 1.5 trillion (+13.5%), 0.41% of GDP (FICCI-EY 2026). 2024 implied ~1,320</t>
        </is>
      </c>
    </row>
    <row r="13" ht="30" customHeight="1">
      <c r="A13" s="39" t="inlineStr">
        <is>
          <t>CTV advertising (INR bn)</t>
        </is>
      </c>
      <c r="B13" s="45" t="n"/>
      <c r="C13" s="16" t="n"/>
      <c r="D13" s="16" t="n">
        <v>70</v>
      </c>
      <c r="E13" s="9" t="inlineStr">
        <is>
          <t>2025 = 99 (+42%) per FICCI-EY 2026; CTV units 40 mn (from 30 mn)</t>
        </is>
      </c>
    </row>
    <row r="14" ht="30" customHeight="1">
      <c r="A14" s="39" t="inlineStr">
        <is>
          <t>Video subscriptions (mn households)</t>
        </is>
      </c>
      <c r="B14" s="45" t="n"/>
      <c r="C14" s="16" t="n"/>
      <c r="D14" s="16" t="n">
        <v>89</v>
      </c>
      <c r="E14" s="9" t="inlineStr">
        <is>
          <t>2025 = 143 mn paying households / 216 mn subscriptions; to reach ~191 mn households by 2028</t>
        </is>
      </c>
    </row>
    <row r="16" ht="46" customHeight="1">
      <c r="A16" s="19" t="inlineStr">
        <is>
          <t>Watch out</t>
        </is>
      </c>
      <c r="B16" s="30" t="inlineStr">
        <is>
          <t>FICCI-EY has restated segment definitions across editions (what counts inside 'digital', print circulation, CTV). When your back-cast does not tie, do not force it - document the definition you chose. Interviewers respect that far more than a number that pretends to be precise.</t>
        </is>
      </c>
      <c r="C16" s="24" t="n"/>
      <c r="D16" s="24" t="n"/>
      <c r="E16" s="25" t="n"/>
    </row>
  </sheetData>
  <mergeCells count="1">
    <mergeCell ref="B16:E1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2026-10-06T02:41:10Z</dcterms:created>
  <dcterms:modified xmlns:dcterms="http://purl.org/dc/terms/" xmlns:xsi="http://www.w3.org/2001/XMLSchema-instance" xsi:type="dcterms:W3CDTF">2026-10-06T02:41:10Z</dcterms:modified>
</cp:coreProperties>
</file>